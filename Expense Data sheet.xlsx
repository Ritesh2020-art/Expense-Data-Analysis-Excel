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C:\Users\Admin\OneDrive\Documents\"/>
    </mc:Choice>
  </mc:AlternateContent>
  <bookViews>
    <workbookView xWindow="0" yWindow="0" windowWidth="23040" windowHeight="9072" activeTab="2"/>
  </bookViews>
  <sheets>
    <sheet name="Raw_Data" sheetId="1" r:id="rId1"/>
    <sheet name="Cleaned_Data" sheetId="2" r:id="rId2"/>
    <sheet name="Month_Pivot" sheetId="6" r:id="rId3"/>
    <sheet name="Month_Analysis" sheetId="7" r:id="rId4"/>
    <sheet name="PaymentMode_Analysis" sheetId="8" r:id="rId5"/>
    <sheet name="Dashboard" sheetId="9" r:id="rId6"/>
  </sheets>
  <definedNames>
    <definedName name="Slicer_Category_Clean">#N/A</definedName>
    <definedName name="Slicer_Month">#N/A</definedName>
    <definedName name="Slicer_PaymentMode_Clean">#N/A</definedName>
  </definedNames>
  <calcPr calcId="162913"/>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2" i="2"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A2" i="2"/>
  <c r="O3" i="2" l="1"/>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2"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2" i="2"/>
  <c r="E4" i="2"/>
  <c r="E7" i="2"/>
  <c r="E12" i="2"/>
  <c r="E14" i="2"/>
  <c r="E17" i="2"/>
  <c r="E21" i="2"/>
  <c r="E24" i="2"/>
  <c r="E27" i="2"/>
  <c r="E30" i="2"/>
  <c r="E33" i="2"/>
  <c r="E35" i="2"/>
  <c r="E40" i="2"/>
  <c r="E42" i="2"/>
  <c r="E44" i="2"/>
  <c r="E49" i="2"/>
  <c r="E51" i="2"/>
  <c r="E52" i="2"/>
  <c r="E57" i="2"/>
  <c r="E59" i="2"/>
  <c r="E60" i="2"/>
  <c r="E65" i="2"/>
  <c r="E67" i="2"/>
  <c r="E72" i="2"/>
  <c r="E74" i="2"/>
  <c r="E79" i="2"/>
  <c r="E81" i="2"/>
  <c r="E82" i="2"/>
  <c r="E86" i="2"/>
  <c r="E90" i="2"/>
  <c r="E95" i="2"/>
  <c r="E97" i="2"/>
  <c r="E99" i="2"/>
  <c r="E101" i="2"/>
  <c r="E106" i="2"/>
  <c r="E111" i="2"/>
  <c r="E113"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2" i="2"/>
  <c r="C3" i="2"/>
  <c r="E3" i="2" s="1"/>
  <c r="C4" i="2"/>
  <c r="C5" i="2"/>
  <c r="E5" i="2" s="1"/>
  <c r="C6" i="2"/>
  <c r="E6" i="2" s="1"/>
  <c r="C7" i="2"/>
  <c r="C8" i="2"/>
  <c r="E8" i="2" s="1"/>
  <c r="C9" i="2"/>
  <c r="E9" i="2" s="1"/>
  <c r="C10" i="2"/>
  <c r="E10" i="2" s="1"/>
  <c r="C11" i="2"/>
  <c r="E11" i="2" s="1"/>
  <c r="C12" i="2"/>
  <c r="C13" i="2"/>
  <c r="E13" i="2" s="1"/>
  <c r="C14" i="2"/>
  <c r="C15" i="2"/>
  <c r="E15" i="2" s="1"/>
  <c r="C16" i="2"/>
  <c r="E16" i="2" s="1"/>
  <c r="C17" i="2"/>
  <c r="C18" i="2"/>
  <c r="E18" i="2" s="1"/>
  <c r="C19" i="2"/>
  <c r="E19" i="2" s="1"/>
  <c r="C20" i="2"/>
  <c r="E20" i="2" s="1"/>
  <c r="C21" i="2"/>
  <c r="C22" i="2"/>
  <c r="E22" i="2" s="1"/>
  <c r="C23" i="2"/>
  <c r="E23" i="2" s="1"/>
  <c r="C24" i="2"/>
  <c r="C25" i="2"/>
  <c r="E25" i="2" s="1"/>
  <c r="C26" i="2"/>
  <c r="E26" i="2" s="1"/>
  <c r="C27" i="2"/>
  <c r="C28" i="2"/>
  <c r="E28" i="2" s="1"/>
  <c r="C29" i="2"/>
  <c r="E29" i="2" s="1"/>
  <c r="C30" i="2"/>
  <c r="C31" i="2"/>
  <c r="E31" i="2" s="1"/>
  <c r="C32" i="2"/>
  <c r="E32" i="2" s="1"/>
  <c r="C33" i="2"/>
  <c r="C34" i="2"/>
  <c r="E34" i="2" s="1"/>
  <c r="C35" i="2"/>
  <c r="C36" i="2"/>
  <c r="E36" i="2" s="1"/>
  <c r="C37" i="2"/>
  <c r="E37" i="2" s="1"/>
  <c r="C38" i="2"/>
  <c r="E38" i="2" s="1"/>
  <c r="C39" i="2"/>
  <c r="E39" i="2" s="1"/>
  <c r="C40" i="2"/>
  <c r="C41" i="2"/>
  <c r="E41" i="2" s="1"/>
  <c r="C42" i="2"/>
  <c r="C43" i="2"/>
  <c r="E43" i="2" s="1"/>
  <c r="C44" i="2"/>
  <c r="C45" i="2"/>
  <c r="E45" i="2" s="1"/>
  <c r="C46" i="2"/>
  <c r="E46" i="2" s="1"/>
  <c r="C47" i="2"/>
  <c r="E47" i="2" s="1"/>
  <c r="C48" i="2"/>
  <c r="E48" i="2" s="1"/>
  <c r="C49" i="2"/>
  <c r="C50" i="2"/>
  <c r="E50" i="2" s="1"/>
  <c r="C51" i="2"/>
  <c r="C52" i="2"/>
  <c r="C53" i="2"/>
  <c r="E53" i="2" s="1"/>
  <c r="C54" i="2"/>
  <c r="E54" i="2" s="1"/>
  <c r="C55" i="2"/>
  <c r="E55" i="2" s="1"/>
  <c r="C56" i="2"/>
  <c r="E56" i="2" s="1"/>
  <c r="C57" i="2"/>
  <c r="C58" i="2"/>
  <c r="E58" i="2" s="1"/>
  <c r="C59" i="2"/>
  <c r="C60" i="2"/>
  <c r="C61" i="2"/>
  <c r="E61" i="2" s="1"/>
  <c r="C62" i="2"/>
  <c r="E62" i="2" s="1"/>
  <c r="C63" i="2"/>
  <c r="E63" i="2" s="1"/>
  <c r="C64" i="2"/>
  <c r="E64" i="2" s="1"/>
  <c r="C65" i="2"/>
  <c r="C66" i="2"/>
  <c r="E66" i="2" s="1"/>
  <c r="C67" i="2"/>
  <c r="C68" i="2"/>
  <c r="E68" i="2" s="1"/>
  <c r="C69" i="2"/>
  <c r="E69" i="2" s="1"/>
  <c r="C70" i="2"/>
  <c r="E70" i="2" s="1"/>
  <c r="C71" i="2"/>
  <c r="E71" i="2" s="1"/>
  <c r="C72" i="2"/>
  <c r="C73" i="2"/>
  <c r="E73" i="2" s="1"/>
  <c r="C74" i="2"/>
  <c r="C75" i="2"/>
  <c r="E75" i="2" s="1"/>
  <c r="C76" i="2"/>
  <c r="E76" i="2" s="1"/>
  <c r="C77" i="2"/>
  <c r="E77" i="2" s="1"/>
  <c r="C78" i="2"/>
  <c r="E78" i="2" s="1"/>
  <c r="C79" i="2"/>
  <c r="C80" i="2"/>
  <c r="E80" i="2" s="1"/>
  <c r="C81" i="2"/>
  <c r="C82" i="2"/>
  <c r="C83" i="2"/>
  <c r="E83" i="2" s="1"/>
  <c r="C84" i="2"/>
  <c r="E84" i="2" s="1"/>
  <c r="C85" i="2"/>
  <c r="E85" i="2" s="1"/>
  <c r="C86" i="2"/>
  <c r="C87" i="2"/>
  <c r="E87" i="2" s="1"/>
  <c r="C88" i="2"/>
  <c r="E88" i="2" s="1"/>
  <c r="C89" i="2"/>
  <c r="E89" i="2" s="1"/>
  <c r="C90" i="2"/>
  <c r="C91" i="2"/>
  <c r="E91" i="2" s="1"/>
  <c r="C92" i="2"/>
  <c r="E92" i="2" s="1"/>
  <c r="C93" i="2"/>
  <c r="E93" i="2" s="1"/>
  <c r="C94" i="2"/>
  <c r="E94" i="2" s="1"/>
  <c r="C95" i="2"/>
  <c r="C96" i="2"/>
  <c r="E96" i="2" s="1"/>
  <c r="C97" i="2"/>
  <c r="C98" i="2"/>
  <c r="E98" i="2" s="1"/>
  <c r="C99" i="2"/>
  <c r="C100" i="2"/>
  <c r="E100" i="2" s="1"/>
  <c r="C101" i="2"/>
  <c r="C102" i="2"/>
  <c r="E102" i="2" s="1"/>
  <c r="C103" i="2"/>
  <c r="E103" i="2" s="1"/>
  <c r="C104" i="2"/>
  <c r="E104" i="2" s="1"/>
  <c r="C105" i="2"/>
  <c r="E105" i="2" s="1"/>
  <c r="C106" i="2"/>
  <c r="C107" i="2"/>
  <c r="E107" i="2" s="1"/>
  <c r="C108" i="2"/>
  <c r="E108" i="2" s="1"/>
  <c r="C109" i="2"/>
  <c r="E109" i="2" s="1"/>
  <c r="C110" i="2"/>
  <c r="E110" i="2" s="1"/>
  <c r="C111" i="2"/>
  <c r="C112" i="2"/>
  <c r="E112" i="2" s="1"/>
  <c r="C113" i="2"/>
  <c r="C2" i="2"/>
  <c r="E2" i="2" s="1"/>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alcChain>
</file>

<file path=xl/sharedStrings.xml><?xml version="1.0" encoding="utf-8"?>
<sst xmlns="http://schemas.openxmlformats.org/spreadsheetml/2006/main" count="1123" uniqueCount="69">
  <si>
    <t>Date</t>
  </si>
  <si>
    <t>category</t>
  </si>
  <si>
    <t>sub category</t>
  </si>
  <si>
    <t xml:space="preserve">description </t>
  </si>
  <si>
    <t>Amount</t>
  </si>
  <si>
    <t>Payment mode</t>
  </si>
  <si>
    <t>location</t>
  </si>
  <si>
    <t>remarks</t>
  </si>
  <si>
    <t>food</t>
  </si>
  <si>
    <t>lunch</t>
  </si>
  <si>
    <t>canteen</t>
  </si>
  <si>
    <t>200/-</t>
  </si>
  <si>
    <t>upi</t>
  </si>
  <si>
    <t>outside</t>
  </si>
  <si>
    <t>late</t>
  </si>
  <si>
    <t>Food</t>
  </si>
  <si>
    <t>dinner</t>
  </si>
  <si>
    <t>zomato</t>
  </si>
  <si>
    <t>280rs</t>
  </si>
  <si>
    <t>UPI</t>
  </si>
  <si>
    <t>home</t>
  </si>
  <si>
    <t>cash</t>
  </si>
  <si>
    <t>mall</t>
  </si>
  <si>
    <t>card</t>
  </si>
  <si>
    <t>college bus</t>
  </si>
  <si>
    <t>Bus</t>
  </si>
  <si>
    <t>Movie</t>
  </si>
  <si>
    <t>Entertainment</t>
  </si>
  <si>
    <t>Travel</t>
  </si>
  <si>
    <t>Amount_Clean</t>
  </si>
  <si>
    <t>Amount_Raw</t>
  </si>
  <si>
    <t>SubCategory_Raw</t>
  </si>
  <si>
    <t>SubCategory_Clean</t>
  </si>
  <si>
    <t xml:space="preserve">Description_Raw </t>
  </si>
  <si>
    <t>Description_Clean</t>
  </si>
  <si>
    <t>PaymentMode_Raw</t>
  </si>
  <si>
    <t>PaymentMode_Clean</t>
  </si>
  <si>
    <t>Location_Raw</t>
  </si>
  <si>
    <t>Location_Clean</t>
  </si>
  <si>
    <t>Remarks_Raw</t>
  </si>
  <si>
    <t>Remarks_Clean</t>
  </si>
  <si>
    <t>Category_Raw</t>
  </si>
  <si>
    <t>Category_Clean</t>
  </si>
  <si>
    <t>Month</t>
  </si>
  <si>
    <t>Day</t>
  </si>
  <si>
    <t>Year</t>
  </si>
  <si>
    <t>Is_Weekend</t>
  </si>
  <si>
    <t>Expense_Level</t>
  </si>
  <si>
    <t>Payment_Flag</t>
  </si>
  <si>
    <t>Month_Number</t>
  </si>
  <si>
    <t>Sum of Amount_Clean</t>
  </si>
  <si>
    <t>Row Labels</t>
  </si>
  <si>
    <t>Grand Total</t>
  </si>
  <si>
    <t>Jan</t>
  </si>
  <si>
    <t>Feb</t>
  </si>
  <si>
    <t>Mar</t>
  </si>
  <si>
    <t>Apr</t>
  </si>
  <si>
    <t>May</t>
  </si>
  <si>
    <t>Jun</t>
  </si>
  <si>
    <t>Jul</t>
  </si>
  <si>
    <t>Aug</t>
  </si>
  <si>
    <t>Sep</t>
  </si>
  <si>
    <t>Oct</t>
  </si>
  <si>
    <t>Nov</t>
  </si>
  <si>
    <t>Dec</t>
  </si>
  <si>
    <t>Card</t>
  </si>
  <si>
    <t>Cash</t>
  </si>
  <si>
    <t>Expense Analysis Dashboard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</si>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</sst>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quot;#,##0_);[Red]\(&quot;$&quot;#,##0\)"/>
    <numFmt numFmtId="164" formatCode="dd\-mm\-yyyy"/>
  </numFmts>
  <fonts count="5" x14ac:knownFonts="1">
    <font>
      <sz val="11"/>
      <color theme="1"/>
      <name val="Calibri"/>
      <family val="2"/>
      <scheme val="minor"/>
    </font>
    <font>
      <b/>
      <sz val="16"/>
      <color theme="1"/>
      <name val="Calibri"/>
      <family val="2"/>
    </font>
    <font>
      <sz val="12"/>
      <color theme="1"/>
      <name val="Calibri"/>
      <family val="2"/>
      <scheme val="minor"/>
    </font>
    <font>
      <sz val="14"/>
      <color theme="1"/>
      <name val="Calibri"/>
      <family val="2"/>
      <scheme val="minor"/>
    </font>
    <font>
      <b/>
      <sz val="20"/>
      <color theme="1"/>
      <name val="Leelawadee"/>
      <family val="2"/>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6" fontId="0" fillId="0" borderId="0" xfId="0" applyNumberFormat="1"/>
    <xf numFmtId="164" fontId="0" fillId="0" borderId="0" xfId="0" applyNumberFormat="1"/>
    <xf numFmtId="164" fontId="1" fillId="0" borderId="0" xfId="0" applyNumberFormat="1" applyFont="1" applyAlignment="1">
      <alignment horizontal="center"/>
    </xf>
    <xf numFmtId="0" fontId="1" fillId="0" borderId="0" xfId="0" applyFont="1" applyAlignment="1">
      <alignment horizontal="center"/>
    </xf>
    <xf numFmtId="0" fontId="2" fillId="0" borderId="0" xfId="0" applyFont="1" applyAlignment="1">
      <alignment horizontal="center"/>
    </xf>
    <xf numFmtId="6" fontId="2" fillId="0" borderId="0" xfId="0" applyNumberFormat="1"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164" fontId="3" fillId="0" borderId="0" xfId="0" applyNumberFormat="1" applyFont="1" applyAlignment="1">
      <alignment horizontal="center"/>
    </xf>
    <xf numFmtId="0" fontId="0" fillId="0" borderId="0" xfId="0" quotePrefix="1"/>
    <xf numFmtId="0" fontId="4" fillId="2" borderId="0" xfId="0" applyFont="1" applyFill="1" applyAlignment="1">
      <alignment horizontal="center"/>
    </xf>
  </cellXfs>
  <cellStyles count="1">
    <cellStyle name="Normal" xfId="0" builtinId="0"/>
  </cellStyles>
  <dxfs count="24">
    <dxf>
      <font>
        <b val="0"/>
        <i val="0"/>
        <strike val="0"/>
        <condense val="0"/>
        <extend val="0"/>
        <outline val="0"/>
        <shadow val="0"/>
        <u val="none"/>
        <vertAlign val="baseline"/>
        <sz val="12"/>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scheme val="minor"/>
      </font>
      <numFmt numFmtId="164"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6"/>
        <color theme="1"/>
        <name val="Calibri"/>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Data sheet.xlsx]Month_Pivot!PivotTable1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Category-wise Expense Analysis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Month_Pivot!$B$3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Month_Pivot!$A$4:$A$7</c:f>
              <c:strCache>
                <c:ptCount val="3"/>
                <c:pt idx="0">
                  <c:v>Entertainment</c:v>
                </c:pt>
                <c:pt idx="1">
                  <c:v>Food</c:v>
                </c:pt>
                <c:pt idx="2">
                  <c:v>Travel</c:v>
                </c:pt>
              </c:strCache>
            </c:strRef>
          </c:cat>
          <c:val>
            <c:numRef>
              <c:f>Month_Pivot!$B$4:$B$7</c:f>
              <c:numCache>
                <c:formatCode>General</c:formatCode>
                <c:ptCount val="3"/>
                <c:pt idx="0">
                  <c:v>6650</c:v>
                </c:pt>
                <c:pt idx="1">
                  <c:v>12960</c:v>
                </c:pt>
                <c:pt idx="2">
                  <c:v>720</c:v>
                </c:pt>
              </c:numCache>
            </c:numRef>
          </c:val>
          <c:extLst>
            <c:ext xmlns:c16="http://schemas.microsoft.com/office/drawing/2014/chart" uri="{C3380CC4-5D6E-409C-BE32-E72D297353CC}">
              <c16:uniqueId val="{00000000-A759-4BBD-8167-8360F25FE7A3}"/>
            </c:ext>
          </c:extLst>
        </c:ser>
        <c:dLbls>
          <c:dLblPos val="inEnd"/>
          <c:showLegendKey val="0"/>
          <c:showVal val="1"/>
          <c:showCatName val="0"/>
          <c:showSerName val="0"/>
          <c:showPercent val="0"/>
          <c:showBubbleSize val="0"/>
        </c:dLbls>
        <c:gapWidth val="65"/>
        <c:axId val="796769711"/>
        <c:axId val="796776367"/>
      </c:barChart>
      <c:catAx>
        <c:axId val="7967697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6776367"/>
        <c:crosses val="autoZero"/>
        <c:auto val="1"/>
        <c:lblAlgn val="ctr"/>
        <c:lblOffset val="100"/>
        <c:noMultiLvlLbl val="0"/>
      </c:catAx>
      <c:valAx>
        <c:axId val="7967763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96769711"/>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Data sheet.xlsx]Month_Analysis!PivotTable2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Expend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Month_Analysis!$B$3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Month_Analysis!$A$4:$A$16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Month_Analysis!$B$4:$B$16</c:f>
              <c:numCache>
                <c:formatCode>General</c:formatCode>
                <c:ptCount val="12"/>
                <c:pt idx="0">
                  <c:v>2210</c:v>
                </c:pt>
                <c:pt idx="1">
                  <c:v>1240</c:v>
                </c:pt>
                <c:pt idx="2">
                  <c:v>2360</c:v>
                </c:pt>
                <c:pt idx="3">
                  <c:v>1400</c:v>
                </c:pt>
                <c:pt idx="4">
                  <c:v>1610</c:v>
                </c:pt>
                <c:pt idx="5">
                  <c:v>1290</c:v>
                </c:pt>
                <c:pt idx="6">
                  <c:v>1980</c:v>
                </c:pt>
                <c:pt idx="7">
                  <c:v>1580</c:v>
                </c:pt>
                <c:pt idx="8">
                  <c:v>2040</c:v>
                </c:pt>
                <c:pt idx="9">
                  <c:v>1390</c:v>
                </c:pt>
                <c:pt idx="10">
                  <c:v>1660</c:v>
                </c:pt>
                <c:pt idx="11">
                  <c:v>1570</c:v>
                </c:pt>
              </c:numCache>
            </c:numRef>
          </c:val>
          <c:extLst>
            <c:ext xmlns:c16="http://schemas.microsoft.com/office/drawing/2014/chart" uri="{C3380CC4-5D6E-409C-BE32-E72D297353CC}">
              <c16:uniqueId val="{00000000-1ADB-4BBC-8CF1-B0ADE295A555}"/>
            </c:ext>
          </c:extLst>
        </c:ser>
        <c:dLbls>
          <c:dLblPos val="inEnd"/>
          <c:showLegendKey val="0"/>
          <c:showVal val="1"/>
          <c:showCatName val="0"/>
          <c:showSerName val="0"/>
          <c:showPercent val="0"/>
          <c:showBubbleSize val="0"/>
        </c:dLbls>
        <c:gapWidth val="65"/>
        <c:axId val="923318111"/>
        <c:axId val="923321855"/>
      </c:barChart>
      <c:catAx>
        <c:axId val="923318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23321855"/>
        <c:crosses val="autoZero"/>
        <c:auto val="1"/>
        <c:lblAlgn val="ctr"/>
        <c:lblOffset val="100"/>
        <c:noMultiLvlLbl val="0"/>
      </c:catAx>
      <c:valAx>
        <c:axId val="9233218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233181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Data sheet.xlsx]PaymentMode_Analysis!PivotTable3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PaymentMode_Analysis!$B$3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PaymentMode_Analysis!$A$4:$A$7</c:f>
              <c:strCache>
                <c:ptCount val="3"/>
                <c:pt idx="0">
                  <c:v>Card</c:v>
                </c:pt>
                <c:pt idx="1">
                  <c:v>Cash</c:v>
                </c:pt>
                <c:pt idx="2">
                  <c:v>UPI</c:v>
                </c:pt>
              </c:strCache>
            </c:strRef>
          </c:cat>
          <c:val>
            <c:numRef>
              <c:f>PaymentMode_Analysis!$B$4:$B$7</c:f>
              <c:numCache>
                <c:formatCode>General</c:formatCode>
                <c:ptCount val="3"/>
                <c:pt idx="0">
                  <c:v>6650</c:v>
                </c:pt>
                <c:pt idx="1">
                  <c:v>3960</c:v>
                </c:pt>
                <c:pt idx="2">
                  <c:v>9720</c:v>
                </c:pt>
              </c:numCache>
            </c:numRef>
          </c:val>
          <c:extLst>
            <c:ext xmlns:c16="http://schemas.microsoft.com/office/drawing/2014/chart" uri="{C3380CC4-5D6E-409C-BE32-E72D297353CC}">
              <c16:uniqueId val="{00000000-918B-4E93-9E84-24FE59040990}"/>
            </c:ext>
          </c:extLst>
        </c:ser>
        <c:dLbls>
          <c:dLblPos val="inEnd"/>
          <c:showLegendKey val="0"/>
          <c:showVal val="1"/>
          <c:showCatName val="0"/>
          <c:showSerName val="0"/>
          <c:showPercent val="0"/>
          <c:showBubbleSize val="0"/>
        </c:dLbls>
        <c:gapWidth val="65"/>
        <c:axId val="923326431"/>
        <c:axId val="923328511"/>
      </c:barChart>
      <c:catAx>
        <c:axId val="9233264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23328511"/>
        <c:crosses val="autoZero"/>
        <c:auto val="1"/>
        <c:lblAlgn val="ctr"/>
        <c:lblOffset val="100"/>
        <c:noMultiLvlLbl val="0"/>
      </c:catAx>
      <c:valAx>
        <c:axId val="9233285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233264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Data sheet.xlsx]Month_Pivot!PivotTable1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Category-wise Expense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Month_Pivot!$B$3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Month_Pivot!$A$4:$A$7</c:f>
              <c:strCache>
                <c:ptCount val="3"/>
                <c:pt idx="0">
                  <c:v>Entertainment</c:v>
                </c:pt>
                <c:pt idx="1">
                  <c:v>Food</c:v>
                </c:pt>
                <c:pt idx="2">
                  <c:v>Travel</c:v>
                </c:pt>
              </c:strCache>
            </c:strRef>
          </c:cat>
          <c:val>
            <c:numRef>
              <c:f>Month_Pivot!$B$4:$B$7</c:f>
              <c:numCache>
                <c:formatCode>General</c:formatCode>
                <c:ptCount val="3"/>
                <c:pt idx="0">
                  <c:v>6650</c:v>
                </c:pt>
                <c:pt idx="1">
                  <c:v>12960</c:v>
                </c:pt>
                <c:pt idx="2">
                  <c:v>720</c:v>
                </c:pt>
              </c:numCache>
            </c:numRef>
          </c:val>
          <c:extLst>
            <c:ext xmlns:c16="http://schemas.microsoft.com/office/drawing/2014/chart" uri="{C3380CC4-5D6E-409C-BE32-E72D297353CC}">
              <c16:uniqueId val="{00000000-4FB0-453F-B245-4B5D9DDED7A9}"/>
            </c:ext>
          </c:extLst>
        </c:ser>
        <c:dLbls>
          <c:dLblPos val="inEnd"/>
          <c:showLegendKey val="0"/>
          <c:showVal val="1"/>
          <c:showCatName val="0"/>
          <c:showSerName val="0"/>
          <c:showPercent val="0"/>
          <c:showBubbleSize val="0"/>
        </c:dLbls>
        <c:gapWidth val="65"/>
        <c:axId val="796769711"/>
        <c:axId val="796776367"/>
      </c:barChart>
      <c:catAx>
        <c:axId val="7967697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6776367"/>
        <c:crosses val="autoZero"/>
        <c:auto val="1"/>
        <c:lblAlgn val="ctr"/>
        <c:lblOffset val="100"/>
        <c:noMultiLvlLbl val="0"/>
      </c:catAx>
      <c:valAx>
        <c:axId val="7967763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967697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Data sheet.xlsx]PaymentMode_Analysis!PivotTable3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PaymentMode_Analysis!$B$3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PaymentMode_Analysis!$A$4:$A$7</c:f>
              <c:strCache>
                <c:ptCount val="3"/>
                <c:pt idx="0">
                  <c:v>Card</c:v>
                </c:pt>
                <c:pt idx="1">
                  <c:v>Cash</c:v>
                </c:pt>
                <c:pt idx="2">
                  <c:v>UPI</c:v>
                </c:pt>
              </c:strCache>
            </c:strRef>
          </c:cat>
          <c:val>
            <c:numRef>
              <c:f>PaymentMode_Analysis!$B$4:$B$7</c:f>
              <c:numCache>
                <c:formatCode>General</c:formatCode>
                <c:ptCount val="3"/>
                <c:pt idx="0">
                  <c:v>6650</c:v>
                </c:pt>
                <c:pt idx="1">
                  <c:v>3960</c:v>
                </c:pt>
                <c:pt idx="2">
                  <c:v>9720</c:v>
                </c:pt>
              </c:numCache>
            </c:numRef>
          </c:val>
          <c:extLst>
            <c:ext xmlns:c16="http://schemas.microsoft.com/office/drawing/2014/chart" uri="{C3380CC4-5D6E-409C-BE32-E72D297353CC}">
              <c16:uniqueId val="{00000000-6385-42A6-9A7F-DA9694DA763C}"/>
            </c:ext>
          </c:extLst>
        </c:ser>
        <c:dLbls>
          <c:dLblPos val="inEnd"/>
          <c:showLegendKey val="0"/>
          <c:showVal val="1"/>
          <c:showCatName val="0"/>
          <c:showSerName val="0"/>
          <c:showPercent val="0"/>
          <c:showBubbleSize val="0"/>
        </c:dLbls>
        <c:gapWidth val="65"/>
        <c:axId val="923326431"/>
        <c:axId val="923328511"/>
      </c:barChart>
      <c:catAx>
        <c:axId val="9233264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23328511"/>
        <c:crosses val="autoZero"/>
        <c:auto val="1"/>
        <c:lblAlgn val="ctr"/>
        <c:lblOffset val="100"/>
        <c:noMultiLvlLbl val="0"/>
      </c:catAx>
      <c:valAx>
        <c:axId val="9233285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233264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Data sheet.xlsx]Month_Analysis!PivotTable2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Expend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Month_Analysis!$B$3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Month_Analysis!$A$4:$A$16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Month_Analysis!$B$4:$B$16</c:f>
              <c:numCache>
                <c:formatCode>General</c:formatCode>
                <c:ptCount val="12"/>
                <c:pt idx="0">
                  <c:v>2210</c:v>
                </c:pt>
                <c:pt idx="1">
                  <c:v>1240</c:v>
                </c:pt>
                <c:pt idx="2">
                  <c:v>2360</c:v>
                </c:pt>
                <c:pt idx="3">
                  <c:v>1400</c:v>
                </c:pt>
                <c:pt idx="4">
                  <c:v>1610</c:v>
                </c:pt>
                <c:pt idx="5">
                  <c:v>1290</c:v>
                </c:pt>
                <c:pt idx="6">
                  <c:v>1980</c:v>
                </c:pt>
                <c:pt idx="7">
                  <c:v>1580</c:v>
                </c:pt>
                <c:pt idx="8">
                  <c:v>2040</c:v>
                </c:pt>
                <c:pt idx="9">
                  <c:v>1390</c:v>
                </c:pt>
                <c:pt idx="10">
                  <c:v>1660</c:v>
                </c:pt>
                <c:pt idx="11">
                  <c:v>1570</c:v>
                </c:pt>
              </c:numCache>
            </c:numRef>
          </c:val>
          <c:extLst>
            <c:ext xmlns:c16="http://schemas.microsoft.com/office/drawing/2014/chart" uri="{C3380CC4-5D6E-409C-BE32-E72D297353CC}">
              <c16:uniqueId val="{00000000-CE7E-47EC-BB85-11BCAF747D0A}"/>
            </c:ext>
          </c:extLst>
        </c:ser>
        <c:dLbls>
          <c:dLblPos val="inEnd"/>
          <c:showLegendKey val="0"/>
          <c:showVal val="1"/>
          <c:showCatName val="0"/>
          <c:showSerName val="0"/>
          <c:showPercent val="0"/>
          <c:showBubbleSize val="0"/>
        </c:dLbls>
        <c:gapWidth val="65"/>
        <c:axId val="923318111"/>
        <c:axId val="923321855"/>
      </c:barChart>
      <c:catAx>
        <c:axId val="923318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23321855"/>
        <c:crosses val="autoZero"/>
        <c:auto val="1"/>
        <c:lblAlgn val="ctr"/>
        <c:lblOffset val="100"/>
        <c:noMultiLvlLbl val="0"/>
      </c:catAx>
      <c:valAx>
        <c:axId val="9233218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233181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7620</xdr:colOff>
      <xdr:row>6</xdr:row>
      <xdr:rowOff>53340</xdr:rowOff>
    </xdr:from>
    <xdr:to>
      <xdr:col>13</xdr:col>
      <xdr:colOff>220980</xdr:colOff>
      <xdr:row>23</xdr:row>
      <xdr:rowOff>45720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274320</xdr:colOff>
      <xdr:row>5</xdr:row>
      <xdr:rowOff>38100</xdr:rowOff>
    </xdr:from>
    <xdr:to>
      <xdr:col>15</xdr:col>
      <xdr:colOff>358140</xdr:colOff>
      <xdr:row>24</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76200</xdr:colOff>
      <xdr:row>5</xdr:row>
      <xdr:rowOff>30480</xdr:rowOff>
    </xdr:from>
    <xdr:to>
      <xdr:col>15</xdr:col>
      <xdr:colOff>358140</xdr:colOff>
      <xdr:row>24</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xdr:colOff>
      <xdr:row>4</xdr:row>
      <xdr:rowOff>167640</xdr:rowOff>
    </xdr:from>
    <xdr:to>
      <xdr:col>9</xdr:col>
      <xdr:colOff>121920</xdr:colOff>
      <xdr:row>21</xdr:row>
      <xdr:rowOff>106680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220980</xdr:colOff>
      <xdr:row>4</xdr:row>
      <xdr:rowOff>137160</xdr:rowOff>
    </xdr:from>
    <xdr:to>
      <xdr:col>20</xdr:col>
      <xdr:colOff>160020</xdr:colOff>
      <xdr:row>21</xdr:row>
      <xdr:rowOff>121920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91440</xdr:colOff>
      <xdr:row>22</xdr:row>
      <xdr:rowOff>114300</xdr:rowOff>
    </xdr:from>
    <xdr:to>
      <xdr:col>14</xdr:col>
      <xdr:colOff>91440</xdr:colOff>
      <xdr:row>35</xdr:row>
      <xdr:rowOff>160019</xdr:rowOff>
    </xdr:to>
    <mc:AlternateContent xmlns:mc="http://schemas.openxmlformats.org/markup-compatibility/2006" xmlns:a14="http://schemas.microsoft.com/office/drawing/2010/main">
      <mc:Choice Requires="a14">
        <xdr:graphicFrame macro="">
          <xdr:nvGraphicFramePr>
            <xdr:cNvPr id="9" name="Category_Clean"/>
            <xdr:cNvGraphicFramePr/>
          </xdr:nvGraphicFramePr>
          <xdr:xfrm>
            <a:off x="0" y="0"/>
            <a:ext cx="0" cy="0"/>
          </xdr:xfrm>
          <a:graphic>
            <a:graphicData uri="http://schemas.microsoft.com/office/drawing/2010/slicer">
              <sle:slicer xmlns:sle="http://schemas.microsoft.com/office/drawing/2010/slicer" name="Category_Clean"/>
            </a:graphicData>
          </a:graphic>
        </xdr:graphicFrame>
      </mc:Choice>
      <mc:Fallback xmlns="">
        <xdr:sp macro="" textlink="">
          <xdr:nvSpPr>
            <xdr:cNvPr id="0" name=""/>
            <xdr:cNvSpPr>
              <a:spLocks noTextEdit="1"/>
            </xdr:cNvSpPr>
          </xdr:nvSpPr>
          <xdr:spPr>
            <a:xfrm>
              <a:off x="6797040" y="4274820"/>
              <a:ext cx="1828800" cy="2423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480060</xdr:colOff>
      <xdr:row>36</xdr:row>
      <xdr:rowOff>152401</xdr:rowOff>
    </xdr:from>
    <xdr:to>
      <xdr:col>11</xdr:col>
      <xdr:colOff>480060</xdr:colOff>
      <xdr:row>49</xdr:row>
      <xdr:rowOff>30480</xdr:rowOff>
    </xdr:to>
    <mc:AlternateContent xmlns:mc="http://schemas.openxmlformats.org/markup-compatibility/2006" xmlns:a14="http://schemas.microsoft.com/office/drawing/2010/main">
      <mc:Choice Requires="a14">
        <xdr:graphicFrame macro="">
          <xdr:nvGraphicFramePr>
            <xdr:cNvPr id="10" name="PaymentMode_Clean"/>
            <xdr:cNvGraphicFramePr/>
          </xdr:nvGraphicFramePr>
          <xdr:xfrm>
            <a:off x="0" y="0"/>
            <a:ext cx="0" cy="0"/>
          </xdr:xfrm>
          <a:graphic>
            <a:graphicData uri="http://schemas.microsoft.com/office/drawing/2010/slicer">
              <sle:slicer xmlns:sle="http://schemas.microsoft.com/office/drawing/2010/slicer" name="PaymentMode_Clean"/>
            </a:graphicData>
          </a:graphic>
        </xdr:graphicFrame>
      </mc:Choice>
      <mc:Fallback xmlns="">
        <xdr:sp macro="" textlink="">
          <xdr:nvSpPr>
            <xdr:cNvPr id="0" name=""/>
            <xdr:cNvSpPr>
              <a:spLocks noTextEdit="1"/>
            </xdr:cNvSpPr>
          </xdr:nvSpPr>
          <xdr:spPr>
            <a:xfrm>
              <a:off x="5356860" y="6873241"/>
              <a:ext cx="1828800" cy="2255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91440</xdr:colOff>
      <xdr:row>22</xdr:row>
      <xdr:rowOff>106680</xdr:rowOff>
    </xdr:from>
    <xdr:to>
      <xdr:col>9</xdr:col>
      <xdr:colOff>91440</xdr:colOff>
      <xdr:row>36</xdr:row>
      <xdr:rowOff>13335</xdr:rowOff>
    </xdr:to>
    <mc:AlternateContent xmlns:mc="http://schemas.openxmlformats.org/markup-compatibility/2006" xmlns:a14="http://schemas.microsoft.com/office/drawing/2010/main">
      <mc:Choice Requires="a14">
        <xdr:graphicFrame macro="">
          <xdr:nvGraphicFramePr>
            <xdr:cNvPr id="11"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749040" y="42672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7620</xdr:colOff>
      <xdr:row>51</xdr:row>
      <xdr:rowOff>7620</xdr:rowOff>
    </xdr:from>
    <xdr:to>
      <xdr:col>16</xdr:col>
      <xdr:colOff>91440</xdr:colOff>
      <xdr:row>70</xdr:row>
      <xdr:rowOff>121920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43.906740740742" createdVersion="6" refreshedVersion="6" minRefreshableVersion="3" recordCount="112">
  <cacheSource type="worksheet">
    <worksheetSource name="Table1"/>
  </cacheSource>
  <cacheFields count="23">
    <cacheField name="Date" numFmtId="164">
      <sharedItems containsSemiMixedTypes="0" containsNonDate="0" containsDate="1" containsString="0" minDate="2026-01-01T00:00:00" maxDate="2026-12-02T00:00:00" count="12">
        <d v="2026-01-01T00:00:00"/>
        <d v="2026-02-01T00:00:00"/>
        <d v="2026-03-01T00:00:00"/>
        <d v="2026-04-01T00:00:00"/>
        <d v="2026-05-01T00:00:00"/>
        <d v="2026-06-01T00:00:00"/>
        <d v="2026-07-01T00:00:00"/>
        <d v="2026-08-01T00:00:00"/>
        <d v="2026-09-01T00:00:00"/>
        <d v="2026-10-01T00:00:00"/>
        <d v="2026-11-01T00:00:00"/>
        <d v="2026-12-01T00:00:00"/>
      </sharedItems>
      <fieldGroup par="22" base="0">
        <rangePr groupBy="days" startDate="2026-01-01T00:00:00" endDate="2026-12-02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6"/>
        </groupItems>
      </fieldGroup>
    </cacheField>
    <cacheField name="Category_Raw" numFmtId="0">
      <sharedItems/>
    </cacheField>
    <cacheField name="Category_Clean" numFmtId="0">
      <sharedItems count="3">
        <s v="Food"/>
        <s v="Travel"/>
        <s v="Entertainment"/>
      </sharedItems>
    </cacheField>
    <cacheField name="SubCategory_Raw" numFmtId="0">
      <sharedItems containsBlank="1"/>
    </cacheField>
    <cacheField name="SubCategory_Clean" numFmtId="0">
      <sharedItems/>
    </cacheField>
    <cacheField name="Description_Raw " numFmtId="0">
      <sharedItems containsBlank="1"/>
    </cacheField>
    <cacheField name="Description_Clean" numFmtId="0">
      <sharedItems/>
    </cacheField>
    <cacheField name="Amount_Raw" numFmtId="0">
      <sharedItems containsMixedTypes="1" containsNumber="1" containsInteger="1" minValue="40" maxValue="350"/>
    </cacheField>
    <cacheField name="Amount_Clean" numFmtId="0">
      <sharedItems containsSemiMixedTypes="0" containsString="0" containsNumber="1" containsInteger="1" minValue="40" maxValue="350"/>
    </cacheField>
    <cacheField name="PaymentMode_Raw" numFmtId="0">
      <sharedItems/>
    </cacheField>
    <cacheField name="PaymentMode_Clean" numFmtId="0">
      <sharedItems count="3">
        <s v="UPI"/>
        <s v="Cash"/>
        <s v="Card"/>
      </sharedItems>
    </cacheField>
    <cacheField name="Location_Raw" numFmtId="0">
      <sharedItems/>
    </cacheField>
    <cacheField name="Location_Clean" numFmtId="0">
      <sharedItems/>
    </cacheField>
    <cacheField name="Remarks_Raw" numFmtId="0">
      <sharedItems containsBlank="1"/>
    </cacheField>
    <cacheField name="Remarks_Clean" numFmtId="0">
      <sharedItems/>
    </cacheField>
    <cacheField name="Month" numFmtId="0">
      <sharedItems count="12">
        <s v="January"/>
        <s v="February"/>
        <s v="March"/>
        <s v="April"/>
        <s v="May"/>
        <s v="June"/>
        <s v="July"/>
        <s v="August"/>
        <s v="September"/>
        <s v="October"/>
        <s v="November"/>
        <s v="December"/>
      </sharedItems>
    </cacheField>
    <cacheField name="Year" numFmtId="0">
      <sharedItems containsSemiMixedTypes="0" containsString="0" containsNumber="1" containsInteger="1" minValue="2026" maxValue="2026"/>
    </cacheField>
    <cacheField name="Day" numFmtId="0">
      <sharedItems/>
    </cacheField>
    <cacheField name="Is_Weekend" numFmtId="0">
      <sharedItems/>
    </cacheField>
    <cacheField name="Expense_Level" numFmtId="0">
      <sharedItems/>
    </cacheField>
    <cacheField name="Payment_Flag" numFmtId="0">
      <sharedItems/>
    </cacheField>
    <cacheField name="Month_Number" numFmtId="0">
      <sharedItems containsSemiMixedTypes="0" containsString="0" containsNumber="1" containsInteger="1" minValue="1" maxValue="12"/>
    </cacheField>
    <cacheField name="Months" numFmtId="0" databaseField="0">
      <fieldGroup base="0">
        <rangePr groupBy="months" startDate="2026-01-01T00:00:00" endDate="2026-12-02T00:00:00"/>
        <groupItems count="14">
          <s v="&lt;1/1/2026"/>
          <s v="Jan"/>
          <s v="Feb"/>
          <s v="Mar"/>
          <s v="Apr"/>
          <s v="May"/>
          <s v="Jun"/>
          <s v="Jul"/>
          <s v="Aug"/>
          <s v="Sep"/>
          <s v="Oct"/>
          <s v="Nov"/>
          <s v="Dec"/>
          <s v="&gt;12/2/202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2">
  <r>
    <x v="0"/>
    <s v="food"/>
    <x v="0"/>
    <s v="lunch"/>
    <s v="Lunch"/>
    <s v="canteen"/>
    <s v="Canteen"/>
    <s v="200/-"/>
    <n v="200"/>
    <s v="upi"/>
    <x v="0"/>
    <s v="outside"/>
    <s v="Outside"/>
    <m/>
    <s v="Not Specified"/>
    <x v="0"/>
    <n v="2026"/>
    <s v="Thursday"/>
    <s v="Weekday"/>
    <s v="Normal"/>
    <s v="Digital"/>
    <n v="1"/>
  </r>
  <r>
    <x v="1"/>
    <s v="food"/>
    <x v="0"/>
    <s v="dinner"/>
    <s v="Dinner"/>
    <s v="zomato"/>
    <s v="Zomato"/>
    <s v="280rs"/>
    <n v="280"/>
    <s v="upi"/>
    <x v="0"/>
    <s v="home"/>
    <s v="Home"/>
    <s v="late"/>
    <s v="Late"/>
    <x v="1"/>
    <n v="2026"/>
    <s v="Sunday"/>
    <s v="Weekend"/>
    <s v="Normal"/>
    <s v="Digital"/>
    <n v="2"/>
  </r>
  <r>
    <x v="2"/>
    <s v="food"/>
    <x v="0"/>
    <m/>
    <s v="Not Specified"/>
    <m/>
    <s v="Not Provided"/>
    <n v="90"/>
    <n v="90"/>
    <s v="cash"/>
    <x v="1"/>
    <s v="outside"/>
    <s v="Outside"/>
    <m/>
    <s v="Not Specified"/>
    <x v="2"/>
    <n v="2026"/>
    <s v="Sunday"/>
    <s v="Weekend"/>
    <s v="Normal"/>
    <s v="Cash"/>
    <n v="3"/>
  </r>
  <r>
    <x v="3"/>
    <s v="Travel"/>
    <x v="1"/>
    <s v="Bus"/>
    <s v="Bus"/>
    <s v="college bus"/>
    <s v="College Bus"/>
    <n v="40"/>
    <n v="40"/>
    <s v="cash"/>
    <x v="1"/>
    <s v="outside"/>
    <s v="Outside"/>
    <m/>
    <s v="Not Specified"/>
    <x v="3"/>
    <n v="2026"/>
    <s v="Wednesday"/>
    <s v="Weekday"/>
    <s v="Normal"/>
    <s v="Cash"/>
    <n v="4"/>
  </r>
  <r>
    <x v="4"/>
    <s v="Entertainment"/>
    <x v="2"/>
    <s v="Movie"/>
    <s v="Movie"/>
    <m/>
    <s v="Not Provided"/>
    <n v="350"/>
    <n v="350"/>
    <s v="card"/>
    <x v="2"/>
    <s v="mall"/>
    <s v="Mall"/>
    <m/>
    <s v="Not Specified"/>
    <x v="4"/>
    <n v="2026"/>
    <s v="Friday"/>
    <s v="Weekday"/>
    <s v="Normal"/>
    <s v="Digital"/>
    <n v="5"/>
  </r>
  <r>
    <x v="5"/>
    <s v="food"/>
    <x v="0"/>
    <m/>
    <s v="Not Specified"/>
    <m/>
    <s v="Not Provided"/>
    <n v="90"/>
    <n v="90"/>
    <s v="cash"/>
    <x v="1"/>
    <s v="outside"/>
    <s v="Outside"/>
    <m/>
    <s v="Not Specified"/>
    <x v="5"/>
    <n v="2026"/>
    <s v="Monday"/>
    <s v="Weekday"/>
    <s v="Normal"/>
    <s v="Cash"/>
    <n v="6"/>
  </r>
  <r>
    <x v="6"/>
    <s v="Travel"/>
    <x v="1"/>
    <s v="Bus"/>
    <s v="Bus"/>
    <s v="college bus"/>
    <s v="College Bus"/>
    <n v="40"/>
    <n v="40"/>
    <s v="cash"/>
    <x v="1"/>
    <s v="outside"/>
    <s v="Outside"/>
    <m/>
    <s v="Not Specified"/>
    <x v="6"/>
    <n v="2026"/>
    <s v="Wednesday"/>
    <s v="Weekday"/>
    <s v="Normal"/>
    <s v="Cash"/>
    <n v="7"/>
  </r>
  <r>
    <x v="7"/>
    <s v="Entertainment"/>
    <x v="2"/>
    <s v="Movie"/>
    <s v="Movie"/>
    <m/>
    <s v="Not Provided"/>
    <n v="350"/>
    <n v="350"/>
    <s v="card"/>
    <x v="2"/>
    <s v="mall"/>
    <s v="Mall"/>
    <m/>
    <s v="Not Specified"/>
    <x v="7"/>
    <n v="2026"/>
    <s v="Saturday"/>
    <s v="Weekend"/>
    <s v="Normal"/>
    <s v="Digital"/>
    <n v="8"/>
  </r>
  <r>
    <x v="8"/>
    <s v="food"/>
    <x v="0"/>
    <s v="lunch"/>
    <s v="Lunch"/>
    <s v="canteen"/>
    <s v="Canteen"/>
    <s v="200/-"/>
    <n v="200"/>
    <s v="upi"/>
    <x v="0"/>
    <s v="outside"/>
    <s v="Outside"/>
    <m/>
    <s v="Not Specified"/>
    <x v="8"/>
    <n v="2026"/>
    <s v="Tuesday"/>
    <s v="Weekday"/>
    <s v="Normal"/>
    <s v="Digital"/>
    <n v="9"/>
  </r>
  <r>
    <x v="9"/>
    <s v="food"/>
    <x v="0"/>
    <s v="dinner"/>
    <s v="Dinner"/>
    <s v="zomato"/>
    <s v="Zomato"/>
    <s v="280rs"/>
    <n v="280"/>
    <s v="upi"/>
    <x v="0"/>
    <s v="home"/>
    <s v="Home"/>
    <s v="late"/>
    <s v="Late"/>
    <x v="9"/>
    <n v="2026"/>
    <s v="Thursday"/>
    <s v="Weekday"/>
    <s v="Normal"/>
    <s v="Digital"/>
    <n v="10"/>
  </r>
  <r>
    <x v="10"/>
    <s v="food"/>
    <x v="0"/>
    <m/>
    <s v="Not Specified"/>
    <m/>
    <s v="Not Provided"/>
    <n v="90"/>
    <n v="90"/>
    <s v="cash"/>
    <x v="1"/>
    <s v="outside"/>
    <s v="Outside"/>
    <m/>
    <s v="Not Specified"/>
    <x v="10"/>
    <n v="2026"/>
    <s v="Sunday"/>
    <s v="Weekend"/>
    <s v="Normal"/>
    <s v="Cash"/>
    <n v="11"/>
  </r>
  <r>
    <x v="11"/>
    <s v="food"/>
    <x v="0"/>
    <s v="dinner"/>
    <s v="Dinner"/>
    <s v="zomato"/>
    <s v="Zomato"/>
    <s v="280rs"/>
    <n v="280"/>
    <s v="upi"/>
    <x v="0"/>
    <s v="home"/>
    <s v="Home"/>
    <s v="late"/>
    <s v="Late"/>
    <x v="11"/>
    <n v="2026"/>
    <s v="Tuesday"/>
    <s v="Weekday"/>
    <s v="Normal"/>
    <s v="Digital"/>
    <n v="12"/>
  </r>
  <r>
    <x v="0"/>
    <s v="food"/>
    <x v="0"/>
    <m/>
    <s v="Not Specified"/>
    <m/>
    <s v="Not Provided"/>
    <n v="90"/>
    <n v="90"/>
    <s v="cash"/>
    <x v="1"/>
    <s v="outside"/>
    <s v="Outside"/>
    <m/>
    <s v="Not Specified"/>
    <x v="0"/>
    <n v="2026"/>
    <s v="Thursday"/>
    <s v="Weekday"/>
    <s v="Normal"/>
    <s v="Cash"/>
    <n v="1"/>
  </r>
  <r>
    <x v="1"/>
    <s v="Travel"/>
    <x v="1"/>
    <s v="Bus"/>
    <s v="Bus"/>
    <s v="college bus"/>
    <s v="College Bus"/>
    <n v="40"/>
    <n v="40"/>
    <s v="cash"/>
    <x v="1"/>
    <s v="outside"/>
    <s v="Outside"/>
    <m/>
    <s v="Not Specified"/>
    <x v="1"/>
    <n v="2026"/>
    <s v="Sunday"/>
    <s v="Weekend"/>
    <s v="Normal"/>
    <s v="Cash"/>
    <n v="2"/>
  </r>
  <r>
    <x v="2"/>
    <s v="Entertainment"/>
    <x v="2"/>
    <s v="Movie"/>
    <s v="Movie"/>
    <m/>
    <s v="Not Provided"/>
    <n v="350"/>
    <n v="350"/>
    <s v="card"/>
    <x v="2"/>
    <s v="mall"/>
    <s v="Mall"/>
    <m/>
    <s v="Not Specified"/>
    <x v="2"/>
    <n v="2026"/>
    <s v="Sunday"/>
    <s v="Weekend"/>
    <s v="Normal"/>
    <s v="Digital"/>
    <n v="3"/>
  </r>
  <r>
    <x v="3"/>
    <s v="food"/>
    <x v="0"/>
    <m/>
    <s v="Not Specified"/>
    <m/>
    <s v="Not Provided"/>
    <n v="90"/>
    <n v="90"/>
    <s v="cash"/>
    <x v="1"/>
    <s v="outside"/>
    <s v="Outside"/>
    <m/>
    <s v="Not Specified"/>
    <x v="3"/>
    <n v="2026"/>
    <s v="Wednesday"/>
    <s v="Weekday"/>
    <s v="Normal"/>
    <s v="Cash"/>
    <n v="4"/>
  </r>
  <r>
    <x v="4"/>
    <s v="Travel"/>
    <x v="1"/>
    <s v="Bus"/>
    <s v="Bus"/>
    <s v="college bus"/>
    <s v="College Bus"/>
    <n v="40"/>
    <n v="40"/>
    <s v="cash"/>
    <x v="1"/>
    <s v="outside"/>
    <s v="Outside"/>
    <m/>
    <s v="Not Specified"/>
    <x v="4"/>
    <n v="2026"/>
    <s v="Friday"/>
    <s v="Weekday"/>
    <s v="Normal"/>
    <s v="Cash"/>
    <n v="5"/>
  </r>
  <r>
    <x v="5"/>
    <s v="Entertainment"/>
    <x v="2"/>
    <s v="Movie"/>
    <s v="Movie"/>
    <m/>
    <s v="Not Provided"/>
    <n v="350"/>
    <n v="350"/>
    <s v="card"/>
    <x v="2"/>
    <s v="mall"/>
    <s v="Mall"/>
    <m/>
    <s v="Not Specified"/>
    <x v="5"/>
    <n v="2026"/>
    <s v="Monday"/>
    <s v="Weekday"/>
    <s v="Normal"/>
    <s v="Digital"/>
    <n v="6"/>
  </r>
  <r>
    <x v="6"/>
    <s v="Entertainment"/>
    <x v="2"/>
    <s v="Movie"/>
    <s v="Movie"/>
    <m/>
    <s v="Not Provided"/>
    <n v="350"/>
    <n v="350"/>
    <s v="card"/>
    <x v="2"/>
    <s v="mall"/>
    <s v="Mall"/>
    <m/>
    <s v="Not Specified"/>
    <x v="6"/>
    <n v="2026"/>
    <s v="Wednesday"/>
    <s v="Weekday"/>
    <s v="Normal"/>
    <s v="Digital"/>
    <n v="7"/>
  </r>
  <r>
    <x v="7"/>
    <s v="food"/>
    <x v="0"/>
    <m/>
    <s v="Not Specified"/>
    <m/>
    <s v="Not Provided"/>
    <n v="90"/>
    <n v="90"/>
    <s v="cash"/>
    <x v="1"/>
    <s v="outside"/>
    <s v="Outside"/>
    <m/>
    <s v="Not Specified"/>
    <x v="7"/>
    <n v="2026"/>
    <s v="Saturday"/>
    <s v="Weekend"/>
    <s v="Normal"/>
    <s v="Cash"/>
    <n v="8"/>
  </r>
  <r>
    <x v="8"/>
    <s v="food"/>
    <x v="0"/>
    <s v="lunch"/>
    <s v="Lunch"/>
    <s v="canteen"/>
    <s v="Canteen"/>
    <s v="200/-"/>
    <n v="200"/>
    <s v="upi"/>
    <x v="0"/>
    <s v="outside"/>
    <s v="Outside"/>
    <m/>
    <s v="Not Specified"/>
    <x v="8"/>
    <n v="2026"/>
    <s v="Tuesday"/>
    <s v="Weekday"/>
    <s v="Normal"/>
    <s v="Digital"/>
    <n v="9"/>
  </r>
  <r>
    <x v="9"/>
    <s v="food"/>
    <x v="0"/>
    <s v="dinner"/>
    <s v="Dinner"/>
    <s v="zomato"/>
    <s v="Zomato"/>
    <s v="280rs"/>
    <n v="280"/>
    <s v="upi"/>
    <x v="0"/>
    <s v="home"/>
    <s v="Home"/>
    <s v="late"/>
    <s v="Late"/>
    <x v="9"/>
    <n v="2026"/>
    <s v="Thursday"/>
    <s v="Weekday"/>
    <s v="Normal"/>
    <s v="Digital"/>
    <n v="10"/>
  </r>
  <r>
    <x v="10"/>
    <s v="food"/>
    <x v="0"/>
    <m/>
    <s v="Not Specified"/>
    <m/>
    <s v="Not Provided"/>
    <n v="90"/>
    <n v="90"/>
    <s v="cash"/>
    <x v="1"/>
    <s v="outside"/>
    <s v="Outside"/>
    <m/>
    <s v="Not Specified"/>
    <x v="10"/>
    <n v="2026"/>
    <s v="Sunday"/>
    <s v="Weekend"/>
    <s v="Normal"/>
    <s v="Cash"/>
    <n v="11"/>
  </r>
  <r>
    <x v="11"/>
    <s v="Travel"/>
    <x v="1"/>
    <s v="Bus"/>
    <s v="Bus"/>
    <s v="college bus"/>
    <s v="College Bus"/>
    <n v="40"/>
    <n v="40"/>
    <s v="cash"/>
    <x v="1"/>
    <s v="outside"/>
    <s v="Outside"/>
    <m/>
    <s v="Not Specified"/>
    <x v="11"/>
    <n v="2026"/>
    <s v="Tuesday"/>
    <s v="Weekday"/>
    <s v="Normal"/>
    <s v="Cash"/>
    <n v="12"/>
  </r>
  <r>
    <x v="0"/>
    <s v="Entertainment"/>
    <x v="2"/>
    <s v="Movie"/>
    <s v="Movie"/>
    <m/>
    <s v="Not Provided"/>
    <n v="350"/>
    <n v="350"/>
    <s v="card"/>
    <x v="2"/>
    <s v="mall"/>
    <s v="Mall"/>
    <m/>
    <s v="Not Specified"/>
    <x v="0"/>
    <n v="2026"/>
    <s v="Thursday"/>
    <s v="Weekday"/>
    <s v="Normal"/>
    <s v="Digital"/>
    <n v="1"/>
  </r>
  <r>
    <x v="1"/>
    <s v="food"/>
    <x v="0"/>
    <m/>
    <s v="Not Specified"/>
    <m/>
    <s v="Not Provided"/>
    <n v="90"/>
    <n v="90"/>
    <s v="cash"/>
    <x v="1"/>
    <s v="outside"/>
    <s v="Outside"/>
    <m/>
    <s v="Not Specified"/>
    <x v="1"/>
    <n v="2026"/>
    <s v="Sunday"/>
    <s v="Weekend"/>
    <s v="Normal"/>
    <s v="Cash"/>
    <n v="2"/>
  </r>
  <r>
    <x v="2"/>
    <s v="food"/>
    <x v="0"/>
    <s v="lunch"/>
    <s v="Lunch"/>
    <s v="canteen"/>
    <s v="Canteen"/>
    <s v="200/-"/>
    <n v="200"/>
    <s v="upi"/>
    <x v="0"/>
    <s v="outside"/>
    <s v="Outside"/>
    <m/>
    <s v="Not Specified"/>
    <x v="2"/>
    <n v="2026"/>
    <s v="Sunday"/>
    <s v="Weekend"/>
    <s v="Normal"/>
    <s v="Digital"/>
    <n v="3"/>
  </r>
  <r>
    <x v="3"/>
    <s v="food"/>
    <x v="0"/>
    <s v="dinner"/>
    <s v="Dinner"/>
    <s v="zomato"/>
    <s v="Zomato"/>
    <s v="280rs"/>
    <n v="280"/>
    <s v="upi"/>
    <x v="0"/>
    <s v="home"/>
    <s v="Home"/>
    <s v="late"/>
    <s v="Late"/>
    <x v="3"/>
    <n v="2026"/>
    <s v="Wednesday"/>
    <s v="Weekday"/>
    <s v="Normal"/>
    <s v="Digital"/>
    <n v="4"/>
  </r>
  <r>
    <x v="4"/>
    <s v="food"/>
    <x v="0"/>
    <m/>
    <s v="Not Specified"/>
    <m/>
    <s v="Not Provided"/>
    <n v="90"/>
    <n v="90"/>
    <s v="cash"/>
    <x v="1"/>
    <s v="outside"/>
    <s v="Outside"/>
    <m/>
    <s v="Not Specified"/>
    <x v="4"/>
    <n v="2026"/>
    <s v="Friday"/>
    <s v="Weekday"/>
    <s v="Normal"/>
    <s v="Cash"/>
    <n v="5"/>
  </r>
  <r>
    <x v="5"/>
    <s v="Travel"/>
    <x v="1"/>
    <s v="Bus"/>
    <s v="Bus"/>
    <s v="college bus"/>
    <s v="College Bus"/>
    <n v="40"/>
    <n v="40"/>
    <s v="cash"/>
    <x v="1"/>
    <s v="outside"/>
    <s v="Outside"/>
    <m/>
    <s v="Not Specified"/>
    <x v="5"/>
    <n v="2026"/>
    <s v="Monday"/>
    <s v="Weekday"/>
    <s v="Normal"/>
    <s v="Cash"/>
    <n v="6"/>
  </r>
  <r>
    <x v="6"/>
    <s v="Entertainment"/>
    <x v="2"/>
    <s v="Movie"/>
    <s v="Movie"/>
    <m/>
    <s v="Not Provided"/>
    <n v="350"/>
    <n v="350"/>
    <s v="card"/>
    <x v="2"/>
    <s v="mall"/>
    <s v="Mall"/>
    <m/>
    <s v="Not Specified"/>
    <x v="6"/>
    <n v="2026"/>
    <s v="Wednesday"/>
    <s v="Weekday"/>
    <s v="Normal"/>
    <s v="Digital"/>
    <n v="7"/>
  </r>
  <r>
    <x v="7"/>
    <s v="food"/>
    <x v="0"/>
    <m/>
    <s v="Not Specified"/>
    <m/>
    <s v="Not Provided"/>
    <n v="90"/>
    <n v="90"/>
    <s v="cash"/>
    <x v="1"/>
    <s v="outside"/>
    <s v="Outside"/>
    <m/>
    <s v="Not Specified"/>
    <x v="7"/>
    <n v="2026"/>
    <s v="Saturday"/>
    <s v="Weekend"/>
    <s v="Normal"/>
    <s v="Cash"/>
    <n v="8"/>
  </r>
  <r>
    <x v="8"/>
    <s v="Entertainment"/>
    <x v="2"/>
    <s v="Movie"/>
    <s v="Movie"/>
    <m/>
    <s v="Not Provided"/>
    <n v="350"/>
    <n v="350"/>
    <s v="card"/>
    <x v="2"/>
    <s v="mall"/>
    <s v="Mall"/>
    <m/>
    <s v="Not Specified"/>
    <x v="8"/>
    <n v="2026"/>
    <s v="Tuesday"/>
    <s v="Weekday"/>
    <s v="Normal"/>
    <s v="Digital"/>
    <n v="9"/>
  </r>
  <r>
    <x v="9"/>
    <s v="food"/>
    <x v="0"/>
    <m/>
    <s v="Not Specified"/>
    <m/>
    <s v="Not Provided"/>
    <n v="90"/>
    <n v="90"/>
    <s v="cash"/>
    <x v="1"/>
    <s v="outside"/>
    <s v="Outside"/>
    <m/>
    <s v="Not Specified"/>
    <x v="9"/>
    <n v="2026"/>
    <s v="Thursday"/>
    <s v="Weekday"/>
    <s v="Normal"/>
    <s v="Cash"/>
    <n v="10"/>
  </r>
  <r>
    <x v="10"/>
    <s v="Travel"/>
    <x v="1"/>
    <s v="Bus"/>
    <s v="Bus"/>
    <s v="college bus"/>
    <s v="College Bus"/>
    <n v="40"/>
    <n v="40"/>
    <s v="cash"/>
    <x v="1"/>
    <s v="outside"/>
    <s v="Outside"/>
    <m/>
    <s v="Not Specified"/>
    <x v="10"/>
    <n v="2026"/>
    <s v="Sunday"/>
    <s v="Weekend"/>
    <s v="Normal"/>
    <s v="Cash"/>
    <n v="11"/>
  </r>
  <r>
    <x v="11"/>
    <s v="Entertainment"/>
    <x v="2"/>
    <s v="Movie"/>
    <s v="Movie"/>
    <m/>
    <s v="Not Provided"/>
    <n v="350"/>
    <n v="350"/>
    <s v="card"/>
    <x v="2"/>
    <s v="mall"/>
    <s v="Mall"/>
    <m/>
    <s v="Not Specified"/>
    <x v="11"/>
    <n v="2026"/>
    <s v="Tuesday"/>
    <s v="Weekday"/>
    <s v="Normal"/>
    <s v="Digital"/>
    <n v="12"/>
  </r>
  <r>
    <x v="0"/>
    <s v="food"/>
    <x v="0"/>
    <s v="lunch"/>
    <s v="Lunch"/>
    <s v="canteen"/>
    <s v="Canteen"/>
    <s v="200/-"/>
    <n v="200"/>
    <s v="upi"/>
    <x v="0"/>
    <s v="outside"/>
    <s v="Outside"/>
    <m/>
    <s v="Not Specified"/>
    <x v="0"/>
    <n v="2026"/>
    <s v="Thursday"/>
    <s v="Weekday"/>
    <s v="Normal"/>
    <s v="Digital"/>
    <n v="1"/>
  </r>
  <r>
    <x v="1"/>
    <s v="food"/>
    <x v="0"/>
    <s v="dinner"/>
    <s v="Dinner"/>
    <s v="zomato"/>
    <s v="Zomato"/>
    <s v="280rs"/>
    <n v="280"/>
    <s v="upi"/>
    <x v="0"/>
    <s v="home"/>
    <s v="Home"/>
    <s v="late"/>
    <s v="Late"/>
    <x v="1"/>
    <n v="2026"/>
    <s v="Sunday"/>
    <s v="Weekend"/>
    <s v="Normal"/>
    <s v="Digital"/>
    <n v="2"/>
  </r>
  <r>
    <x v="2"/>
    <s v="food"/>
    <x v="0"/>
    <m/>
    <s v="Not Specified"/>
    <m/>
    <s v="Not Provided"/>
    <n v="90"/>
    <n v="90"/>
    <s v="cash"/>
    <x v="1"/>
    <s v="outside"/>
    <s v="Outside"/>
    <m/>
    <s v="Not Specified"/>
    <x v="2"/>
    <n v="2026"/>
    <s v="Sunday"/>
    <s v="Weekend"/>
    <s v="Normal"/>
    <s v="Cash"/>
    <n v="3"/>
  </r>
  <r>
    <x v="3"/>
    <s v="food"/>
    <x v="0"/>
    <s v="dinner"/>
    <s v="Dinner"/>
    <s v="zomato"/>
    <s v="Zomato"/>
    <s v="280rs"/>
    <n v="280"/>
    <s v="upi"/>
    <x v="0"/>
    <s v="home"/>
    <s v="Home"/>
    <s v="late"/>
    <s v="Late"/>
    <x v="3"/>
    <n v="2026"/>
    <s v="Wednesday"/>
    <s v="Weekday"/>
    <s v="Normal"/>
    <s v="Digital"/>
    <n v="4"/>
  </r>
  <r>
    <x v="4"/>
    <s v="food"/>
    <x v="0"/>
    <m/>
    <s v="Not Specified"/>
    <m/>
    <s v="Not Provided"/>
    <n v="90"/>
    <n v="90"/>
    <s v="cash"/>
    <x v="1"/>
    <s v="outside"/>
    <s v="Outside"/>
    <m/>
    <s v="Not Specified"/>
    <x v="4"/>
    <n v="2026"/>
    <s v="Friday"/>
    <s v="Weekday"/>
    <s v="Normal"/>
    <s v="Cash"/>
    <n v="5"/>
  </r>
  <r>
    <x v="5"/>
    <s v="Travel"/>
    <x v="1"/>
    <s v="Bus"/>
    <s v="Bus"/>
    <s v="college bus"/>
    <s v="College Bus"/>
    <n v="40"/>
    <n v="40"/>
    <s v="cash"/>
    <x v="1"/>
    <s v="outside"/>
    <s v="Outside"/>
    <m/>
    <s v="Not Specified"/>
    <x v="5"/>
    <n v="2026"/>
    <s v="Monday"/>
    <s v="Weekday"/>
    <s v="Normal"/>
    <s v="Cash"/>
    <n v="6"/>
  </r>
  <r>
    <x v="6"/>
    <s v="food"/>
    <x v="0"/>
    <m/>
    <s v="Not Specified"/>
    <m/>
    <s v="Not Provided"/>
    <n v="90"/>
    <n v="90"/>
    <s v="cash"/>
    <x v="1"/>
    <s v="outside"/>
    <s v="Outside"/>
    <m/>
    <s v="Not Specified"/>
    <x v="6"/>
    <n v="2026"/>
    <s v="Wednesday"/>
    <s v="Weekday"/>
    <s v="Normal"/>
    <s v="Cash"/>
    <n v="7"/>
  </r>
  <r>
    <x v="7"/>
    <s v="Travel"/>
    <x v="1"/>
    <s v="Bus"/>
    <s v="Bus"/>
    <s v="college bus"/>
    <s v="College Bus"/>
    <n v="40"/>
    <n v="40"/>
    <s v="cash"/>
    <x v="1"/>
    <s v="outside"/>
    <s v="Outside"/>
    <m/>
    <s v="Not Specified"/>
    <x v="7"/>
    <n v="2026"/>
    <s v="Saturday"/>
    <s v="Weekend"/>
    <s v="Normal"/>
    <s v="Cash"/>
    <n v="8"/>
  </r>
  <r>
    <x v="8"/>
    <s v="Entertainment"/>
    <x v="2"/>
    <s v="Movie"/>
    <s v="Movie"/>
    <m/>
    <s v="Not Provided"/>
    <n v="350"/>
    <n v="350"/>
    <s v="card"/>
    <x v="2"/>
    <s v="mall"/>
    <s v="Mall"/>
    <m/>
    <s v="Not Specified"/>
    <x v="8"/>
    <n v="2026"/>
    <s v="Tuesday"/>
    <s v="Weekday"/>
    <s v="Normal"/>
    <s v="Digital"/>
    <n v="9"/>
  </r>
  <r>
    <x v="9"/>
    <s v="food"/>
    <x v="0"/>
    <s v="lunch"/>
    <s v="Lunch"/>
    <s v="canteen"/>
    <s v="Canteen"/>
    <s v="200/-"/>
    <n v="200"/>
    <s v="upi"/>
    <x v="0"/>
    <s v="outside"/>
    <s v="Outside"/>
    <m/>
    <s v="Not Specified"/>
    <x v="9"/>
    <n v="2026"/>
    <s v="Thursday"/>
    <s v="Weekday"/>
    <s v="Normal"/>
    <s v="Digital"/>
    <n v="10"/>
  </r>
  <r>
    <x v="10"/>
    <s v="food"/>
    <x v="0"/>
    <s v="dinner"/>
    <s v="Dinner"/>
    <s v="zomato"/>
    <s v="Zomato"/>
    <s v="280rs"/>
    <n v="280"/>
    <s v="upi"/>
    <x v="0"/>
    <s v="home"/>
    <s v="Home"/>
    <s v="late"/>
    <s v="Late"/>
    <x v="10"/>
    <n v="2026"/>
    <s v="Sunday"/>
    <s v="Weekend"/>
    <s v="Normal"/>
    <s v="Digital"/>
    <n v="11"/>
  </r>
  <r>
    <x v="11"/>
    <s v="food"/>
    <x v="0"/>
    <m/>
    <s v="Not Specified"/>
    <m/>
    <s v="Not Provided"/>
    <n v="90"/>
    <n v="90"/>
    <s v="cash"/>
    <x v="1"/>
    <s v="outside"/>
    <s v="Outside"/>
    <m/>
    <s v="Not Specified"/>
    <x v="11"/>
    <n v="2026"/>
    <s v="Tuesday"/>
    <s v="Weekday"/>
    <s v="Normal"/>
    <s v="Cash"/>
    <n v="12"/>
  </r>
  <r>
    <x v="0"/>
    <s v="food"/>
    <x v="0"/>
    <s v="dinner"/>
    <s v="Dinner"/>
    <s v="zomato"/>
    <s v="Zomato"/>
    <s v="280rs"/>
    <n v="280"/>
    <s v="upi"/>
    <x v="0"/>
    <s v="home"/>
    <s v="Home"/>
    <s v="late"/>
    <s v="Late"/>
    <x v="0"/>
    <n v="2026"/>
    <s v="Thursday"/>
    <s v="Weekday"/>
    <s v="Normal"/>
    <s v="Digital"/>
    <n v="1"/>
  </r>
  <r>
    <x v="1"/>
    <s v="food"/>
    <x v="0"/>
    <m/>
    <s v="Not Specified"/>
    <m/>
    <s v="Not Provided"/>
    <n v="90"/>
    <n v="90"/>
    <s v="cash"/>
    <x v="1"/>
    <s v="outside"/>
    <s v="Outside"/>
    <m/>
    <s v="Not Specified"/>
    <x v="1"/>
    <n v="2026"/>
    <s v="Sunday"/>
    <s v="Weekend"/>
    <s v="Normal"/>
    <s v="Cash"/>
    <n v="2"/>
  </r>
  <r>
    <x v="2"/>
    <s v="food"/>
    <x v="0"/>
    <m/>
    <s v="Not Specified"/>
    <m/>
    <s v="Not Provided"/>
    <n v="90"/>
    <n v="90"/>
    <s v="cash"/>
    <x v="1"/>
    <s v="outside"/>
    <s v="Outside"/>
    <m/>
    <s v="Not Specified"/>
    <x v="2"/>
    <n v="2026"/>
    <s v="Sunday"/>
    <s v="Weekend"/>
    <s v="Normal"/>
    <s v="Cash"/>
    <n v="3"/>
  </r>
  <r>
    <x v="3"/>
    <s v="Travel"/>
    <x v="1"/>
    <s v="Bus"/>
    <s v="Bus"/>
    <s v="college bus"/>
    <s v="College Bus"/>
    <n v="40"/>
    <n v="40"/>
    <s v="cash"/>
    <x v="1"/>
    <s v="outside"/>
    <s v="Outside"/>
    <m/>
    <s v="Not Specified"/>
    <x v="3"/>
    <n v="2026"/>
    <s v="Wednesday"/>
    <s v="Weekday"/>
    <s v="Normal"/>
    <s v="Cash"/>
    <n v="4"/>
  </r>
  <r>
    <x v="4"/>
    <s v="Entertainment"/>
    <x v="2"/>
    <s v="Movie"/>
    <s v="Movie"/>
    <m/>
    <s v="Not Provided"/>
    <n v="350"/>
    <n v="350"/>
    <s v="card"/>
    <x v="2"/>
    <s v="mall"/>
    <s v="Mall"/>
    <m/>
    <s v="Not Specified"/>
    <x v="4"/>
    <n v="2026"/>
    <s v="Friday"/>
    <s v="Weekday"/>
    <s v="Normal"/>
    <s v="Digital"/>
    <n v="5"/>
  </r>
  <r>
    <x v="5"/>
    <s v="food"/>
    <x v="0"/>
    <s v="lunch"/>
    <s v="Lunch"/>
    <s v="canteen"/>
    <s v="Canteen"/>
    <s v="200/-"/>
    <n v="200"/>
    <s v="upi"/>
    <x v="0"/>
    <s v="outside"/>
    <s v="Outside"/>
    <m/>
    <s v="Not Specified"/>
    <x v="5"/>
    <n v="2026"/>
    <s v="Monday"/>
    <s v="Weekday"/>
    <s v="Normal"/>
    <s v="Digital"/>
    <n v="6"/>
  </r>
  <r>
    <x v="6"/>
    <s v="food"/>
    <x v="0"/>
    <s v="dinner"/>
    <s v="Dinner"/>
    <s v="zomato"/>
    <s v="Zomato"/>
    <s v="280rs"/>
    <n v="280"/>
    <s v="upi"/>
    <x v="0"/>
    <s v="home"/>
    <s v="Home"/>
    <s v="late"/>
    <s v="Late"/>
    <x v="6"/>
    <n v="2026"/>
    <s v="Wednesday"/>
    <s v="Weekday"/>
    <s v="Normal"/>
    <s v="Digital"/>
    <n v="7"/>
  </r>
  <r>
    <x v="7"/>
    <s v="food"/>
    <x v="0"/>
    <m/>
    <s v="Not Specified"/>
    <m/>
    <s v="Not Provided"/>
    <n v="90"/>
    <n v="90"/>
    <s v="cash"/>
    <x v="1"/>
    <s v="outside"/>
    <s v="Outside"/>
    <m/>
    <s v="Not Specified"/>
    <x v="7"/>
    <n v="2026"/>
    <s v="Saturday"/>
    <s v="Weekend"/>
    <s v="Normal"/>
    <s v="Cash"/>
    <n v="8"/>
  </r>
  <r>
    <x v="8"/>
    <s v="food"/>
    <x v="0"/>
    <s v="dinner"/>
    <s v="Dinner"/>
    <s v="zomato"/>
    <s v="Zomato"/>
    <s v="280rs"/>
    <n v="280"/>
    <s v="upi"/>
    <x v="0"/>
    <s v="home"/>
    <s v="Home"/>
    <s v="late"/>
    <s v="Late"/>
    <x v="8"/>
    <n v="2026"/>
    <s v="Tuesday"/>
    <s v="Weekday"/>
    <s v="Normal"/>
    <s v="Digital"/>
    <n v="9"/>
  </r>
  <r>
    <x v="9"/>
    <s v="food"/>
    <x v="0"/>
    <m/>
    <s v="Not Specified"/>
    <m/>
    <s v="Not Provided"/>
    <n v="90"/>
    <n v="90"/>
    <s v="cash"/>
    <x v="1"/>
    <s v="outside"/>
    <s v="Outside"/>
    <m/>
    <s v="Not Specified"/>
    <x v="9"/>
    <n v="2026"/>
    <s v="Thursday"/>
    <s v="Weekday"/>
    <s v="Normal"/>
    <s v="Cash"/>
    <n v="10"/>
  </r>
  <r>
    <x v="10"/>
    <s v="food"/>
    <x v="0"/>
    <m/>
    <s v="Not Specified"/>
    <m/>
    <s v="Not Provided"/>
    <n v="90"/>
    <n v="90"/>
    <s v="cash"/>
    <x v="1"/>
    <s v="outside"/>
    <s v="Outside"/>
    <m/>
    <s v="Not Specified"/>
    <x v="10"/>
    <n v="2026"/>
    <s v="Sunday"/>
    <s v="Weekend"/>
    <s v="Normal"/>
    <s v="Cash"/>
    <n v="11"/>
  </r>
  <r>
    <x v="11"/>
    <s v="Travel"/>
    <x v="1"/>
    <s v="Bus"/>
    <s v="Bus"/>
    <s v="college bus"/>
    <s v="College Bus"/>
    <n v="40"/>
    <n v="40"/>
    <s v="cash"/>
    <x v="1"/>
    <s v="outside"/>
    <s v="Outside"/>
    <m/>
    <s v="Not Specified"/>
    <x v="11"/>
    <n v="2026"/>
    <s v="Tuesday"/>
    <s v="Weekday"/>
    <s v="Normal"/>
    <s v="Cash"/>
    <n v="12"/>
  </r>
  <r>
    <x v="0"/>
    <s v="Entertainment"/>
    <x v="2"/>
    <s v="Movie"/>
    <s v="Movie"/>
    <m/>
    <s v="Not Provided"/>
    <n v="350"/>
    <n v="350"/>
    <s v="card"/>
    <x v="2"/>
    <s v="mall"/>
    <s v="Mall"/>
    <m/>
    <s v="Not Specified"/>
    <x v="0"/>
    <n v="2026"/>
    <s v="Thursday"/>
    <s v="Weekday"/>
    <s v="Normal"/>
    <s v="Digital"/>
    <n v="1"/>
  </r>
  <r>
    <x v="1"/>
    <s v="food"/>
    <x v="0"/>
    <s v="lunch"/>
    <s v="Lunch"/>
    <s v="canteen"/>
    <s v="Canteen"/>
    <s v="200/-"/>
    <n v="200"/>
    <s v="upi"/>
    <x v="0"/>
    <s v="outside"/>
    <s v="Outside"/>
    <m/>
    <s v="Not Specified"/>
    <x v="1"/>
    <n v="2026"/>
    <s v="Sunday"/>
    <s v="Weekend"/>
    <s v="Normal"/>
    <s v="Digital"/>
    <n v="2"/>
  </r>
  <r>
    <x v="2"/>
    <s v="food"/>
    <x v="0"/>
    <s v="dinner"/>
    <s v="Dinner"/>
    <s v="zomato"/>
    <s v="Zomato"/>
    <s v="280rs"/>
    <n v="280"/>
    <s v="upi"/>
    <x v="0"/>
    <s v="home"/>
    <s v="Home"/>
    <s v="late"/>
    <s v="Late"/>
    <x v="2"/>
    <n v="2026"/>
    <s v="Sunday"/>
    <s v="Weekend"/>
    <s v="Normal"/>
    <s v="Digital"/>
    <n v="3"/>
  </r>
  <r>
    <x v="3"/>
    <s v="food"/>
    <x v="0"/>
    <m/>
    <s v="Not Specified"/>
    <m/>
    <s v="Not Provided"/>
    <n v="90"/>
    <n v="90"/>
    <s v="cash"/>
    <x v="1"/>
    <s v="outside"/>
    <s v="Outside"/>
    <m/>
    <s v="Not Specified"/>
    <x v="3"/>
    <n v="2026"/>
    <s v="Wednesday"/>
    <s v="Weekday"/>
    <s v="Normal"/>
    <s v="Cash"/>
    <n v="4"/>
  </r>
  <r>
    <x v="4"/>
    <s v="food"/>
    <x v="0"/>
    <s v="dinner"/>
    <s v="Dinner"/>
    <s v="zomato"/>
    <s v="Zomato"/>
    <s v="280rs"/>
    <n v="280"/>
    <s v="upi"/>
    <x v="0"/>
    <s v="home"/>
    <s v="Home"/>
    <s v="late"/>
    <s v="Late"/>
    <x v="4"/>
    <n v="2026"/>
    <s v="Friday"/>
    <s v="Weekday"/>
    <s v="Normal"/>
    <s v="Digital"/>
    <n v="5"/>
  </r>
  <r>
    <x v="5"/>
    <s v="food"/>
    <x v="0"/>
    <m/>
    <s v="Not Specified"/>
    <m/>
    <s v="Not Provided"/>
    <n v="90"/>
    <n v="90"/>
    <s v="cash"/>
    <x v="1"/>
    <s v="outside"/>
    <s v="Outside"/>
    <m/>
    <s v="Not Specified"/>
    <x v="5"/>
    <n v="2026"/>
    <s v="Monday"/>
    <s v="Weekday"/>
    <s v="Normal"/>
    <s v="Cash"/>
    <n v="6"/>
  </r>
  <r>
    <x v="6"/>
    <s v="Travel"/>
    <x v="1"/>
    <s v="Bus"/>
    <s v="Bus"/>
    <s v="college bus"/>
    <s v="College Bus"/>
    <n v="40"/>
    <n v="40"/>
    <s v="cash"/>
    <x v="1"/>
    <s v="outside"/>
    <s v="Outside"/>
    <m/>
    <s v="Not Specified"/>
    <x v="6"/>
    <n v="2026"/>
    <s v="Wednesday"/>
    <s v="Weekday"/>
    <s v="Normal"/>
    <s v="Cash"/>
    <n v="7"/>
  </r>
  <r>
    <x v="7"/>
    <s v="Entertainment"/>
    <x v="2"/>
    <s v="Movie"/>
    <s v="Movie"/>
    <m/>
    <s v="Not Provided"/>
    <n v="350"/>
    <n v="350"/>
    <s v="card"/>
    <x v="2"/>
    <s v="mall"/>
    <s v="Mall"/>
    <m/>
    <s v="Not Specified"/>
    <x v="7"/>
    <n v="2026"/>
    <s v="Saturday"/>
    <s v="Weekend"/>
    <s v="Normal"/>
    <s v="Digital"/>
    <n v="8"/>
  </r>
  <r>
    <x v="8"/>
    <s v="food"/>
    <x v="0"/>
    <s v="lunch"/>
    <s v="Lunch"/>
    <s v="canteen"/>
    <s v="Canteen"/>
    <s v="200/-"/>
    <n v="200"/>
    <s v="upi"/>
    <x v="0"/>
    <s v="outside"/>
    <s v="Outside"/>
    <m/>
    <s v="Not Specified"/>
    <x v="8"/>
    <n v="2026"/>
    <s v="Tuesday"/>
    <s v="Weekday"/>
    <s v="Normal"/>
    <s v="Digital"/>
    <n v="9"/>
  </r>
  <r>
    <x v="9"/>
    <s v="food"/>
    <x v="0"/>
    <s v="dinner"/>
    <s v="Dinner"/>
    <s v="zomato"/>
    <s v="Zomato"/>
    <s v="280rs"/>
    <n v="280"/>
    <s v="upi"/>
    <x v="0"/>
    <s v="home"/>
    <s v="Home"/>
    <s v="late"/>
    <s v="Late"/>
    <x v="9"/>
    <n v="2026"/>
    <s v="Thursday"/>
    <s v="Weekday"/>
    <s v="Normal"/>
    <s v="Digital"/>
    <n v="10"/>
  </r>
  <r>
    <x v="10"/>
    <s v="food"/>
    <x v="0"/>
    <m/>
    <s v="Not Specified"/>
    <m/>
    <s v="Not Provided"/>
    <n v="90"/>
    <n v="90"/>
    <s v="cash"/>
    <x v="1"/>
    <s v="outside"/>
    <s v="Outside"/>
    <m/>
    <s v="Not Specified"/>
    <x v="10"/>
    <n v="2026"/>
    <s v="Sunday"/>
    <s v="Weekend"/>
    <s v="Normal"/>
    <s v="Cash"/>
    <n v="11"/>
  </r>
  <r>
    <x v="11"/>
    <s v="food"/>
    <x v="0"/>
    <s v="dinner"/>
    <s v="Dinner"/>
    <s v="zomato"/>
    <s v="Zomato"/>
    <s v="280rs"/>
    <n v="280"/>
    <s v="upi"/>
    <x v="0"/>
    <s v="home"/>
    <s v="Home"/>
    <s v="late"/>
    <s v="Late"/>
    <x v="11"/>
    <n v="2026"/>
    <s v="Tuesday"/>
    <s v="Weekday"/>
    <s v="Normal"/>
    <s v="Digital"/>
    <n v="12"/>
  </r>
  <r>
    <x v="0"/>
    <s v="food"/>
    <x v="0"/>
    <m/>
    <s v="Not Specified"/>
    <m/>
    <s v="Not Provided"/>
    <n v="90"/>
    <n v="90"/>
    <s v="cash"/>
    <x v="1"/>
    <s v="outside"/>
    <s v="Outside"/>
    <m/>
    <s v="Not Specified"/>
    <x v="0"/>
    <n v="2026"/>
    <s v="Thursday"/>
    <s v="Weekday"/>
    <s v="Normal"/>
    <s v="Cash"/>
    <n v="1"/>
  </r>
  <r>
    <x v="1"/>
    <s v="Travel"/>
    <x v="1"/>
    <s v="Bus"/>
    <s v="Bus"/>
    <s v="college bus"/>
    <s v="College Bus"/>
    <n v="40"/>
    <n v="40"/>
    <s v="cash"/>
    <x v="1"/>
    <s v="outside"/>
    <s v="Outside"/>
    <m/>
    <s v="Not Specified"/>
    <x v="1"/>
    <n v="2026"/>
    <s v="Sunday"/>
    <s v="Weekend"/>
    <s v="Normal"/>
    <s v="Cash"/>
    <n v="2"/>
  </r>
  <r>
    <x v="2"/>
    <s v="Entertainment"/>
    <x v="2"/>
    <s v="Movie"/>
    <s v="Movie"/>
    <m/>
    <s v="Not Provided"/>
    <n v="350"/>
    <n v="350"/>
    <s v="card"/>
    <x v="2"/>
    <s v="mall"/>
    <s v="Mall"/>
    <m/>
    <s v="Not Specified"/>
    <x v="2"/>
    <n v="2026"/>
    <s v="Sunday"/>
    <s v="Weekend"/>
    <s v="Normal"/>
    <s v="Digital"/>
    <n v="3"/>
  </r>
  <r>
    <x v="3"/>
    <s v="food"/>
    <x v="0"/>
    <s v="lunch"/>
    <s v="Lunch"/>
    <s v="canteen"/>
    <s v="Canteen"/>
    <s v="200/-"/>
    <n v="200"/>
    <s v="upi"/>
    <x v="0"/>
    <s v="outside"/>
    <s v="Outside"/>
    <m/>
    <s v="Not Specified"/>
    <x v="3"/>
    <n v="2026"/>
    <s v="Wednesday"/>
    <s v="Weekday"/>
    <s v="Normal"/>
    <s v="Digital"/>
    <n v="4"/>
  </r>
  <r>
    <x v="4"/>
    <s v="food"/>
    <x v="0"/>
    <s v="dinner"/>
    <s v="Dinner"/>
    <s v="zomato"/>
    <s v="Zomato"/>
    <s v="280rs"/>
    <n v="280"/>
    <s v="upi"/>
    <x v="0"/>
    <s v="home"/>
    <s v="Home"/>
    <s v="late"/>
    <s v="Late"/>
    <x v="4"/>
    <n v="2026"/>
    <s v="Friday"/>
    <s v="Weekday"/>
    <s v="Normal"/>
    <s v="Digital"/>
    <n v="5"/>
  </r>
  <r>
    <x v="5"/>
    <s v="food"/>
    <x v="0"/>
    <m/>
    <s v="Not Specified"/>
    <m/>
    <s v="Not Provided"/>
    <n v="90"/>
    <n v="90"/>
    <s v="cash"/>
    <x v="1"/>
    <s v="outside"/>
    <s v="Outside"/>
    <m/>
    <s v="Not Specified"/>
    <x v="5"/>
    <n v="2026"/>
    <s v="Monday"/>
    <s v="Weekday"/>
    <s v="Normal"/>
    <s v="Cash"/>
    <n v="6"/>
  </r>
  <r>
    <x v="6"/>
    <s v="food"/>
    <x v="0"/>
    <s v="dinner"/>
    <s v="Dinner"/>
    <s v="zomato"/>
    <s v="Zomato"/>
    <s v="280rs"/>
    <n v="280"/>
    <s v="upi"/>
    <x v="0"/>
    <s v="home"/>
    <s v="Home"/>
    <s v="late"/>
    <s v="Late"/>
    <x v="6"/>
    <n v="2026"/>
    <s v="Wednesday"/>
    <s v="Weekday"/>
    <s v="Normal"/>
    <s v="Digital"/>
    <n v="7"/>
  </r>
  <r>
    <x v="7"/>
    <s v="food"/>
    <x v="0"/>
    <m/>
    <s v="Not Specified"/>
    <m/>
    <s v="Not Provided"/>
    <n v="90"/>
    <n v="90"/>
    <s v="cash"/>
    <x v="1"/>
    <s v="outside"/>
    <s v="Outside"/>
    <m/>
    <s v="Not Specified"/>
    <x v="7"/>
    <n v="2026"/>
    <s v="Saturday"/>
    <s v="Weekend"/>
    <s v="Normal"/>
    <s v="Cash"/>
    <n v="8"/>
  </r>
  <r>
    <x v="8"/>
    <s v="food"/>
    <x v="0"/>
    <m/>
    <s v="Not Specified"/>
    <m/>
    <s v="Not Provided"/>
    <n v="90"/>
    <n v="90"/>
    <s v="cash"/>
    <x v="1"/>
    <s v="outside"/>
    <s v="Outside"/>
    <m/>
    <s v="Not Specified"/>
    <x v="8"/>
    <n v="2026"/>
    <s v="Tuesday"/>
    <s v="Weekday"/>
    <s v="Normal"/>
    <s v="Cash"/>
    <n v="9"/>
  </r>
  <r>
    <x v="9"/>
    <s v="Travel"/>
    <x v="1"/>
    <s v="Bus"/>
    <s v="Bus"/>
    <s v="college bus"/>
    <s v="College Bus"/>
    <n v="40"/>
    <n v="40"/>
    <s v="cash"/>
    <x v="1"/>
    <s v="outside"/>
    <s v="Outside"/>
    <m/>
    <s v="Not Specified"/>
    <x v="9"/>
    <n v="2026"/>
    <s v="Thursday"/>
    <s v="Weekday"/>
    <s v="Normal"/>
    <s v="Cash"/>
    <n v="10"/>
  </r>
  <r>
    <x v="10"/>
    <s v="Entertainment"/>
    <x v="2"/>
    <s v="Movie"/>
    <s v="Movie"/>
    <m/>
    <s v="Not Provided"/>
    <n v="350"/>
    <n v="350"/>
    <s v="card"/>
    <x v="2"/>
    <s v="mall"/>
    <s v="Mall"/>
    <m/>
    <s v="Not Specified"/>
    <x v="10"/>
    <n v="2026"/>
    <s v="Sunday"/>
    <s v="Weekend"/>
    <s v="Normal"/>
    <s v="Digital"/>
    <n v="11"/>
  </r>
  <r>
    <x v="11"/>
    <s v="food"/>
    <x v="0"/>
    <s v="lunch"/>
    <s v="Lunch"/>
    <s v="canteen"/>
    <s v="Canteen"/>
    <s v="200/-"/>
    <n v="200"/>
    <s v="upi"/>
    <x v="0"/>
    <s v="outside"/>
    <s v="Outside"/>
    <m/>
    <s v="Not Specified"/>
    <x v="11"/>
    <n v="2026"/>
    <s v="Tuesday"/>
    <s v="Weekday"/>
    <s v="Normal"/>
    <s v="Digital"/>
    <n v="12"/>
  </r>
  <r>
    <x v="0"/>
    <s v="food"/>
    <x v="0"/>
    <m/>
    <s v="Not Specified"/>
    <m/>
    <s v="Not Provided"/>
    <n v="90"/>
    <n v="90"/>
    <s v="cash"/>
    <x v="1"/>
    <s v="outside"/>
    <s v="Outside"/>
    <m/>
    <s v="Not Specified"/>
    <x v="0"/>
    <n v="2026"/>
    <s v="Thursday"/>
    <s v="Weekday"/>
    <s v="Normal"/>
    <s v="Cash"/>
    <n v="1"/>
  </r>
  <r>
    <x v="1"/>
    <s v="Travel"/>
    <x v="1"/>
    <s v="Bus"/>
    <s v="Bus"/>
    <s v="college bus"/>
    <s v="College Bus"/>
    <n v="40"/>
    <n v="40"/>
    <s v="cash"/>
    <x v="1"/>
    <s v="outside"/>
    <s v="Outside"/>
    <m/>
    <s v="Not Specified"/>
    <x v="1"/>
    <n v="2026"/>
    <s v="Sunday"/>
    <s v="Weekend"/>
    <s v="Normal"/>
    <s v="Cash"/>
    <n v="2"/>
  </r>
  <r>
    <x v="2"/>
    <s v="Entertainment"/>
    <x v="2"/>
    <s v="Movie"/>
    <s v="Movie"/>
    <m/>
    <s v="Not Provided"/>
    <n v="350"/>
    <n v="350"/>
    <s v="card"/>
    <x v="2"/>
    <s v="mall"/>
    <s v="Mall"/>
    <m/>
    <s v="Not Specified"/>
    <x v="2"/>
    <n v="2026"/>
    <s v="Sunday"/>
    <s v="Weekend"/>
    <s v="Normal"/>
    <s v="Digital"/>
    <n v="3"/>
  </r>
  <r>
    <x v="3"/>
    <s v="food"/>
    <x v="0"/>
    <s v="lunch"/>
    <s v="Lunch"/>
    <s v="canteen"/>
    <s v="Canteen"/>
    <s v="200/-"/>
    <n v="200"/>
    <s v="upi"/>
    <x v="0"/>
    <s v="outside"/>
    <s v="Outside"/>
    <m/>
    <s v="Not Specified"/>
    <x v="3"/>
    <n v="2026"/>
    <s v="Wednesday"/>
    <s v="Weekday"/>
    <s v="Normal"/>
    <s v="Digital"/>
    <n v="4"/>
  </r>
  <r>
    <x v="4"/>
    <s v="food"/>
    <x v="0"/>
    <m/>
    <s v="Not Specified"/>
    <m/>
    <s v="Not Provided"/>
    <n v="90"/>
    <n v="90"/>
    <s v="cash"/>
    <x v="1"/>
    <s v="outside"/>
    <s v="Outside"/>
    <m/>
    <s v="Not Specified"/>
    <x v="4"/>
    <n v="2026"/>
    <s v="Friday"/>
    <s v="Weekday"/>
    <s v="Normal"/>
    <s v="Cash"/>
    <n v="5"/>
  </r>
  <r>
    <x v="5"/>
    <s v="Travel"/>
    <x v="1"/>
    <s v="Bus"/>
    <s v="Bus"/>
    <s v="college bus"/>
    <s v="College Bus"/>
    <n v="40"/>
    <n v="40"/>
    <s v="cash"/>
    <x v="1"/>
    <s v="outside"/>
    <s v="Outside"/>
    <m/>
    <s v="Not Specified"/>
    <x v="5"/>
    <n v="2026"/>
    <s v="Monday"/>
    <s v="Weekday"/>
    <s v="Normal"/>
    <s v="Cash"/>
    <n v="6"/>
  </r>
  <r>
    <x v="6"/>
    <s v="Entertainment"/>
    <x v="2"/>
    <s v="Movie"/>
    <s v="Movie"/>
    <m/>
    <s v="Not Provided"/>
    <n v="350"/>
    <n v="350"/>
    <s v="card"/>
    <x v="2"/>
    <s v="mall"/>
    <s v="Mall"/>
    <m/>
    <s v="Not Specified"/>
    <x v="6"/>
    <n v="2026"/>
    <s v="Wednesday"/>
    <s v="Weekday"/>
    <s v="Normal"/>
    <s v="Digital"/>
    <n v="7"/>
  </r>
  <r>
    <x v="7"/>
    <s v="food"/>
    <x v="0"/>
    <s v="lunch"/>
    <s v="Lunch"/>
    <s v="canteen"/>
    <s v="Canteen"/>
    <s v="200/-"/>
    <n v="200"/>
    <s v="upi"/>
    <x v="0"/>
    <s v="outside"/>
    <s v="Outside"/>
    <m/>
    <s v="Not Specified"/>
    <x v="7"/>
    <n v="2026"/>
    <s v="Saturday"/>
    <s v="Weekend"/>
    <s v="Normal"/>
    <s v="Digital"/>
    <n v="8"/>
  </r>
  <r>
    <x v="8"/>
    <s v="food"/>
    <x v="0"/>
    <s v="dinner"/>
    <s v="Dinner"/>
    <s v="zomato"/>
    <s v="Zomato"/>
    <s v="280rs"/>
    <n v="280"/>
    <s v="upi"/>
    <x v="0"/>
    <s v="home"/>
    <s v="Home"/>
    <s v="late"/>
    <s v="Late"/>
    <x v="8"/>
    <n v="2026"/>
    <s v="Tuesday"/>
    <s v="Weekday"/>
    <s v="Normal"/>
    <s v="Digital"/>
    <n v="9"/>
  </r>
  <r>
    <x v="9"/>
    <s v="food"/>
    <x v="0"/>
    <m/>
    <s v="Not Specified"/>
    <m/>
    <s v="Not Provided"/>
    <n v="90"/>
    <n v="90"/>
    <s v="cash"/>
    <x v="1"/>
    <s v="outside"/>
    <s v="Outside"/>
    <m/>
    <s v="Not Specified"/>
    <x v="9"/>
    <n v="2026"/>
    <s v="Thursday"/>
    <s v="Weekday"/>
    <s v="Normal"/>
    <s v="Cash"/>
    <n v="10"/>
  </r>
  <r>
    <x v="10"/>
    <s v="food"/>
    <x v="0"/>
    <s v="dinner"/>
    <s v="Dinner"/>
    <s v="zomato"/>
    <s v="Zomato"/>
    <s v="280rs"/>
    <n v="280"/>
    <s v="upi"/>
    <x v="0"/>
    <s v="home"/>
    <s v="Home"/>
    <s v="late"/>
    <s v="Late"/>
    <x v="10"/>
    <n v="2026"/>
    <s v="Sunday"/>
    <s v="Weekend"/>
    <s v="Normal"/>
    <s v="Digital"/>
    <n v="11"/>
  </r>
  <r>
    <x v="11"/>
    <s v="food"/>
    <x v="0"/>
    <m/>
    <s v="Not Specified"/>
    <m/>
    <s v="Not Provided"/>
    <n v="90"/>
    <n v="90"/>
    <s v="cash"/>
    <x v="1"/>
    <s v="outside"/>
    <s v="Outside"/>
    <m/>
    <s v="Not Specified"/>
    <x v="11"/>
    <n v="2026"/>
    <s v="Tuesday"/>
    <s v="Weekday"/>
    <s v="Normal"/>
    <s v="Cash"/>
    <n v="12"/>
  </r>
  <r>
    <x v="0"/>
    <s v="food"/>
    <x v="0"/>
    <s v="dinner"/>
    <s v="Dinner"/>
    <s v="zomato"/>
    <s v="Zomato"/>
    <s v="280rs"/>
    <n v="280"/>
    <s v="upi"/>
    <x v="0"/>
    <s v="home"/>
    <s v="Home"/>
    <s v="late"/>
    <s v="Late"/>
    <x v="0"/>
    <n v="2026"/>
    <s v="Thursday"/>
    <s v="Weekday"/>
    <s v="Normal"/>
    <s v="Digital"/>
    <n v="1"/>
  </r>
  <r>
    <x v="1"/>
    <s v="food"/>
    <x v="0"/>
    <m/>
    <s v="Not Specified"/>
    <m/>
    <s v="Not Provided"/>
    <n v="90"/>
    <n v="90"/>
    <s v="cash"/>
    <x v="1"/>
    <s v="outside"/>
    <s v="Outside"/>
    <m/>
    <s v="Not Specified"/>
    <x v="1"/>
    <n v="2026"/>
    <s v="Sunday"/>
    <s v="Weekend"/>
    <s v="Normal"/>
    <s v="Cash"/>
    <n v="2"/>
  </r>
  <r>
    <x v="2"/>
    <s v="food"/>
    <x v="0"/>
    <s v="dinner"/>
    <s v="Dinner"/>
    <s v="zomato"/>
    <s v="Zomato"/>
    <s v="280rs"/>
    <n v="280"/>
    <s v="upi"/>
    <x v="0"/>
    <s v="home"/>
    <s v="Home"/>
    <s v="late"/>
    <s v="Late"/>
    <x v="2"/>
    <n v="2026"/>
    <s v="Sunday"/>
    <s v="Weekend"/>
    <s v="Normal"/>
    <s v="Digital"/>
    <n v="3"/>
  </r>
  <r>
    <x v="3"/>
    <s v="food"/>
    <x v="0"/>
    <m/>
    <s v="Not Specified"/>
    <m/>
    <s v="Not Provided"/>
    <n v="90"/>
    <n v="90"/>
    <s v="cash"/>
    <x v="1"/>
    <s v="outside"/>
    <s v="Outside"/>
    <m/>
    <s v="Not Specified"/>
    <x v="3"/>
    <n v="2026"/>
    <s v="Wednesday"/>
    <s v="Weekday"/>
    <s v="Normal"/>
    <s v="Cash"/>
    <n v="4"/>
  </r>
  <r>
    <x v="4"/>
    <s v="Travel"/>
    <x v="1"/>
    <s v="Bus"/>
    <s v="Bus"/>
    <s v="college bus"/>
    <s v="College Bus"/>
    <n v="40"/>
    <n v="40"/>
    <s v="cash"/>
    <x v="1"/>
    <s v="outside"/>
    <s v="Outside"/>
    <m/>
    <s v="Not Specified"/>
    <x v="4"/>
    <n v="2026"/>
    <s v="Friday"/>
    <s v="Weekday"/>
    <s v="Normal"/>
    <s v="Cash"/>
    <n v="5"/>
  </r>
  <r>
    <x v="5"/>
    <s v="Entertainment"/>
    <x v="2"/>
    <s v="Movie"/>
    <s v="Movie"/>
    <m/>
    <s v="Not Provided"/>
    <n v="350"/>
    <n v="350"/>
    <s v="card"/>
    <x v="2"/>
    <s v="mall"/>
    <s v="Mall"/>
    <m/>
    <s v="Not Specified"/>
    <x v="5"/>
    <n v="2026"/>
    <s v="Monday"/>
    <s v="Weekday"/>
    <s v="Normal"/>
    <s v="Digital"/>
    <n v="6"/>
  </r>
  <r>
    <x v="6"/>
    <s v="food"/>
    <x v="0"/>
    <s v="lunch"/>
    <s v="Lunch"/>
    <s v="canteen"/>
    <s v="Canteen"/>
    <s v="200/-"/>
    <n v="200"/>
    <s v="upi"/>
    <x v="0"/>
    <s v="outside"/>
    <s v="Outside"/>
    <m/>
    <s v="Not Specified"/>
    <x v="6"/>
    <n v="2026"/>
    <s v="Wednesday"/>
    <s v="Weekday"/>
    <s v="Normal"/>
    <s v="Digital"/>
    <n v="7"/>
  </r>
  <r>
    <x v="7"/>
    <s v="food"/>
    <x v="0"/>
    <s v="dinner"/>
    <s v="Dinner"/>
    <s v="zomato"/>
    <s v="Zomato"/>
    <s v="280rs"/>
    <n v="280"/>
    <s v="upi"/>
    <x v="0"/>
    <s v="home"/>
    <s v="Home"/>
    <s v="late"/>
    <s v="Late"/>
    <x v="7"/>
    <n v="2026"/>
    <s v="Saturday"/>
    <s v="Weekend"/>
    <s v="Normal"/>
    <s v="Digital"/>
    <n v="8"/>
  </r>
  <r>
    <x v="8"/>
    <s v="food"/>
    <x v="0"/>
    <m/>
    <s v="Not Specified"/>
    <m/>
    <s v="Not Provided"/>
    <n v="90"/>
    <n v="90"/>
    <s v="cash"/>
    <x v="1"/>
    <s v="outside"/>
    <s v="Outside"/>
    <m/>
    <s v="Not Specified"/>
    <x v="8"/>
    <n v="2026"/>
    <s v="Tuesday"/>
    <s v="Weekday"/>
    <s v="Normal"/>
    <s v="Cash"/>
    <n v="9"/>
  </r>
  <r>
    <x v="9"/>
    <s v="Travel"/>
    <x v="1"/>
    <s v="Bus"/>
    <s v="Bus"/>
    <s v="college bus"/>
    <s v="College Bus"/>
    <n v="40"/>
    <n v="40"/>
    <s v="cash"/>
    <x v="1"/>
    <s v="outside"/>
    <s v="Outside"/>
    <m/>
    <s v="Not Specified"/>
    <x v="9"/>
    <n v="2026"/>
    <s v="Thursday"/>
    <s v="Weekday"/>
    <s v="Normal"/>
    <s v="Cash"/>
    <n v="10"/>
  </r>
  <r>
    <x v="10"/>
    <s v="Entertainment"/>
    <x v="2"/>
    <s v="Movie"/>
    <s v="Movie"/>
    <m/>
    <s v="Not Provided"/>
    <n v="350"/>
    <n v="350"/>
    <s v="card"/>
    <x v="2"/>
    <s v="mall"/>
    <s v="Mall"/>
    <m/>
    <s v="Not Specified"/>
    <x v="10"/>
    <n v="2026"/>
    <s v="Sunday"/>
    <s v="Weekend"/>
    <s v="Normal"/>
    <s v="Digital"/>
    <n v="11"/>
  </r>
  <r>
    <x v="11"/>
    <s v="food"/>
    <x v="0"/>
    <s v="lunch"/>
    <s v="Lunch"/>
    <s v="canteen"/>
    <s v="Canteen"/>
    <s v="200/-"/>
    <n v="200"/>
    <s v="upi"/>
    <x v="0"/>
    <s v="outside"/>
    <s v="Outside"/>
    <m/>
    <s v="Not Specified"/>
    <x v="11"/>
    <n v="2026"/>
    <s v="Tuesday"/>
    <s v="Weekday"/>
    <s v="Normal"/>
    <s v="Digital"/>
    <n v="12"/>
  </r>
  <r>
    <x v="0"/>
    <s v="food"/>
    <x v="0"/>
    <s v="dinner"/>
    <s v="Dinner"/>
    <s v="zomato"/>
    <s v="Zomato"/>
    <s v="280rs"/>
    <n v="280"/>
    <s v="upi"/>
    <x v="0"/>
    <s v="home"/>
    <s v="Home"/>
    <s v="late"/>
    <s v="Late"/>
    <x v="0"/>
    <n v="2026"/>
    <s v="Thursday"/>
    <s v="Weekday"/>
    <s v="Normal"/>
    <s v="Digital"/>
    <n v="1"/>
  </r>
  <r>
    <x v="1"/>
    <s v="food"/>
    <x v="0"/>
    <m/>
    <s v="Not Specified"/>
    <m/>
    <s v="Not Provided"/>
    <n v="90"/>
    <n v="90"/>
    <s v="cash"/>
    <x v="1"/>
    <s v="outside"/>
    <s v="Outside"/>
    <m/>
    <s v="Not Specified"/>
    <x v="1"/>
    <n v="2026"/>
    <s v="Sunday"/>
    <s v="Weekend"/>
    <s v="Normal"/>
    <s v="Cash"/>
    <n v="2"/>
  </r>
  <r>
    <x v="2"/>
    <s v="food"/>
    <x v="0"/>
    <s v="dinner"/>
    <s v="Dinner"/>
    <s v="zomato"/>
    <s v="Zomato"/>
    <s v="280rs"/>
    <n v="280"/>
    <s v="upi"/>
    <x v="0"/>
    <s v="home"/>
    <s v="Home"/>
    <s v="late"/>
    <s v="Late"/>
    <x v="2"/>
    <n v="2026"/>
    <s v="Sunday"/>
    <s v="Weekend"/>
    <s v="Normal"/>
    <s v="Digital"/>
    <n v="3"/>
  </r>
  <r>
    <x v="3"/>
    <s v="food"/>
    <x v="0"/>
    <m/>
    <s v="Not Specified"/>
    <m/>
    <s v="Not Provided"/>
    <n v="90"/>
    <n v="90"/>
    <s v="cash"/>
    <x v="1"/>
    <s v="outside"/>
    <s v="Outside"/>
    <m/>
    <s v="Not Specified"/>
    <x v="3"/>
    <n v="2026"/>
    <s v="Wednesday"/>
    <s v="Weekday"/>
    <s v="Normal"/>
    <s v="Cash"/>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23">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Sum of Amount_Clean" fld="8" baseField="0" baseItem="0"/>
  </dataFields>
  <chartFormats count="2">
    <chartFormat chart="2"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6" firstHeaderRow="1" firstDataRow="1" firstDataCol="1"/>
  <pivotFields count="23">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22"/>
    <field x="0"/>
  </rowFields>
  <rowItems count="13">
    <i>
      <x v="1"/>
    </i>
    <i>
      <x v="2"/>
    </i>
    <i>
      <x v="3"/>
    </i>
    <i>
      <x v="4"/>
    </i>
    <i>
      <x v="5"/>
    </i>
    <i>
      <x v="6"/>
    </i>
    <i>
      <x v="7"/>
    </i>
    <i>
      <x v="8"/>
    </i>
    <i>
      <x v="9"/>
    </i>
    <i>
      <x v="10"/>
    </i>
    <i>
      <x v="11"/>
    </i>
    <i>
      <x v="12"/>
    </i>
    <i t="grand">
      <x/>
    </i>
  </rowItems>
  <colItems count="1">
    <i/>
  </colItems>
  <dataFields count="1">
    <dataField name="Sum of Amount_Clean" fld="8" baseField="0" baseItem="0"/>
  </dataFields>
  <chartFormats count="4">
    <chartFormat chart="2"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23">
    <pivotField numFmtId="164" showAll="0"/>
    <pivotField showAll="0"/>
    <pivotField showAll="0">
      <items count="4">
        <item x="2"/>
        <item x="0"/>
        <item x="1"/>
        <item t="default"/>
      </items>
    </pivotField>
    <pivotField showAll="0"/>
    <pivotField showAll="0"/>
    <pivotField showAll="0"/>
    <pivotField showAll="0"/>
    <pivotField showAll="0"/>
    <pivotField dataField="1" showAll="0"/>
    <pivotField showAll="0"/>
    <pivotField axis="axisRow" showAll="0">
      <items count="4">
        <item x="2"/>
        <item x="1"/>
        <item x="0"/>
        <item t="default"/>
      </items>
    </pivotField>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defaultSubtotal="0"/>
  </pivotFields>
  <rowFields count="1">
    <field x="10"/>
  </rowFields>
  <rowItems count="4">
    <i>
      <x/>
    </i>
    <i>
      <x v="1"/>
    </i>
    <i>
      <x v="2"/>
    </i>
    <i t="grand">
      <x/>
    </i>
  </rowItems>
  <colItems count="1">
    <i/>
  </colItems>
  <dataFields count="1">
    <dataField name="Sum of Amount_Clean" fld="8" baseField="0" baseItem="0"/>
  </dataFields>
  <chartFormats count="2">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_Clean" sourceName="Category_Clean">
  <pivotTables>
    <pivotTable tabId="8" name="PivotTable3"/>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Mode_Clean" sourceName="PaymentMode_Clean">
  <pivotTables>
    <pivotTable tabId="8" name="PivotTable3"/>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8" name="PivotTable3"/>
  </pivotTables>
  <data>
    <tabular pivotCacheId="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_Clean" cache="Slicer_Category_Clean" caption="Category_Clean" rowHeight="234950"/>
  <slicer name="PaymentMode_Clean" cache="Slicer_PaymentMode_Clean" caption="PaymentMode_Clean" rowHeight="234950"/>
  <slicer name="Month" cache="Slicer_Month" caption="Month" startItem="5" rowHeight="234950"/>
</slicers>
</file>

<file path=xl/tables/table1.xml><?xml version="1.0" encoding="utf-8"?>
<table xmlns="http://schemas.openxmlformats.org/spreadsheetml/2006/main" id="1" name="Table1" displayName="Table1" ref="A1:V113" totalsRowShown="0" headerRowDxfId="23" dataDxfId="22">
  <autoFilter ref="A1:V113"/>
  <tableColumns count="22">
    <tableColumn id="1" name="Date" dataDxfId="21">
      <calculatedColumnFormula>DATE(2026, MONTH(Raw_Data!A2), DAY(Raw_Data!A2))</calculatedColumnFormula>
    </tableColumn>
    <tableColumn id="2" name="Category_Raw" dataDxfId="20"/>
    <tableColumn id="3" name="Category_Clean" dataDxfId="19">
      <calculatedColumnFormula>IF(LOWER(TRIM(B2))="food","Food",IF(LOWER(TRIM(B2))="travel","Travel",IF(LOWER(TRIM(B2))="entertainment","Entertainment","Other")))</calculatedColumnFormula>
    </tableColumn>
    <tableColumn id="4" name="SubCategory_Raw" dataDxfId="18"/>
    <tableColumn id="5" name="SubCategory_Clean" dataDxfId="17">
      <calculatedColumnFormula>IF(TRIM(D2)="","Not Specified",
IF(C2="Food",
IF(LOWER(D2)="lunch","Lunch",
IF(LOWER(D2)="dinner","Dinner","Snacks")),
IF(C2="Travel",
IF(LOWER(D2)="bus","Bus","Bus"),
IF(C2="Entertainment",
IF(LOWER(D2)="movie","Movie","Other"),
"Other"))))</calculatedColumnFormula>
    </tableColumn>
    <tableColumn id="6" name="Description_Raw " dataDxfId="16"/>
    <tableColumn id="7" name="Description_Clean" dataDxfId="15">
      <calculatedColumnFormula>IF(TRIM(F2)="","Not Provided",PROPER(TRIM(F2)))</calculatedColumnFormula>
    </tableColumn>
    <tableColumn id="8" name="Amount_Raw" dataDxfId="14"/>
    <tableColumn id="9" name="Amount_Clean" dataDxfId="13">
      <calculatedColumnFormula>IF(H2="","",VALUE(SUBSTITUTE(SUBSTITUTE(SUBSTITUTE(LOWER(H2),"rs",""),"/-",""),"$","")))</calculatedColumnFormula>
    </tableColumn>
    <tableColumn id="10" name="PaymentMode_Raw" dataDxfId="12"/>
    <tableColumn id="11" name="PaymentMode_Clean" dataDxfId="11">
      <calculatedColumnFormula>IF(TRIM(J2)="","Not Specified",IF(LOWER(J2)="upi","UPI",IF(LOWER(J2)="cash","Cash",IF(LOWER(J2)="card","Card","Other"))))</calculatedColumnFormula>
    </tableColumn>
    <tableColumn id="12" name="Location_Raw" dataDxfId="10"/>
    <tableColumn id="13" name="Location_Clean" dataDxfId="9">
      <calculatedColumnFormula>IF(TRIM(L2)="","Not Specified",PROPER(TRIM(L2)))</calculatedColumnFormula>
    </tableColumn>
    <tableColumn id="14" name="Remarks_Raw" dataDxfId="8"/>
    <tableColumn id="15" name="Remarks_Clean" dataDxfId="7">
      <calculatedColumnFormula>IF(TRIM(N2)="","Not Specified",PROPER(TRIM(N2)))</calculatedColumnFormula>
    </tableColumn>
    <tableColumn id="16" name="Month" dataDxfId="6">
      <calculatedColumnFormula>TEXT(Table1[[#This Row],[Date]],"mmmm")</calculatedColumnFormula>
    </tableColumn>
    <tableColumn id="17" name="Year" dataDxfId="5">
      <calculatedColumnFormula>YEAR(Table1[[#This Row],[Date]])</calculatedColumnFormula>
    </tableColumn>
    <tableColumn id="18" name="Day" dataDxfId="4">
      <calculatedColumnFormula>TEXT(Table1[[#This Row],[Date]],"dddd")</calculatedColumnFormula>
    </tableColumn>
    <tableColumn id="19" name="Is_Weekend" dataDxfId="3">
      <calculatedColumnFormula>IF(WEEKDAY(Table1[[#This Row],[Date]],2)&gt;5,"Weekend","Weekday")</calculatedColumnFormula>
    </tableColumn>
    <tableColumn id="20" name="Expense_Level" dataDxfId="2">
      <calculatedColumnFormula>IF(Table1[[#This Row],[Amount_Clean]]&gt;500,"High","Normal")</calculatedColumnFormula>
    </tableColumn>
    <tableColumn id="21" name="Payment_Flag" dataDxfId="1">
      <calculatedColumnFormula>IF(LOWER(TRIM(Table1[[#This Row],[PaymentMode_Clean]]))="cash","Cash","Digital")</calculatedColumnFormula>
    </tableColumn>
    <tableColumn id="22" name="Month_Number" dataDxfId="0">
      <calculatedColumnFormula>MONTH(Table1[[#This Row],[Date]])</calculatedColumnFormula>
    </tableColumn>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113"/>
  <sheetViews>
    <sheetView workbookViewId="0">
      <selection activeCell="J13" sqref="J13"/>
    </sheetView>
  </sheetViews>
  <sheetFormatPr defaultRowHeight="14.4" x14ac:dyDescent="0.3"/>
  <cols>
    <col min="1" max="1" width="9.5546875" bestFit="1" customWidth="1"/>
    <col min="2" max="2" width="12.6640625" bestFit="1" customWidth="1"/>
    <col min="3" max="3" width="11.33203125" bestFit="1" customWidth="1"/>
    <col min="4" max="4" width="10.44140625" bestFit="1" customWidth="1"/>
    <col min="5" max="5" width="7.44140625" bestFit="1" customWidth="1"/>
    <col min="6" max="6" width="13.33203125" bestFit="1" customWidth="1"/>
    <col min="7" max="7" width="7.6640625" bestFit="1" customWidth="1"/>
    <col min="8" max="8" width="7.5546875" bestFit="1" customWidth="1"/>
  </cols>
  <sheetData>
    <row r="1" spans="1:10" x14ac:dyDescent="0.3">
      <c r="A1" t="s">
        <v>0</v>
      </c>
      <c r="B1" t="s">
        <v>1</v>
      </c>
      <c r="C1" t="s">
        <v>2</v>
      </c>
      <c r="D1" t="s">
        <v>3</v>
      </c>
      <c r="E1" t="s">
        <v>4</v>
      </c>
      <c r="F1" t="s">
        <v>5</v>
      </c>
      <c r="G1" t="s">
        <v>6</v>
      </c>
      <c r="H1" t="s">
        <v>7</v>
      </c>
    </row>
    <row r="2" spans="1:10" x14ac:dyDescent="0.3">
      <c r="A2" s="1">
        <v>45658</v>
      </c>
      <c r="B2" t="s">
        <v>8</v>
      </c>
      <c r="C2" t="s">
        <v>9</v>
      </c>
      <c r="D2" t="s">
        <v>10</v>
      </c>
      <c r="E2" t="s">
        <v>11</v>
      </c>
      <c r="F2" t="s">
        <v>12</v>
      </c>
      <c r="G2" t="s">
        <v>13</v>
      </c>
    </row>
    <row r="3" spans="1:10" x14ac:dyDescent="0.3">
      <c r="A3" s="1">
        <v>45689</v>
      </c>
      <c r="B3" t="s">
        <v>15</v>
      </c>
      <c r="C3" t="s">
        <v>16</v>
      </c>
      <c r="D3" t="s">
        <v>17</v>
      </c>
      <c r="E3" t="s">
        <v>18</v>
      </c>
      <c r="F3" t="s">
        <v>19</v>
      </c>
      <c r="G3" t="s">
        <v>20</v>
      </c>
      <c r="H3" t="s">
        <v>14</v>
      </c>
    </row>
    <row r="4" spans="1:10" x14ac:dyDescent="0.3">
      <c r="A4" s="1">
        <v>45717</v>
      </c>
      <c r="B4" t="s">
        <v>15</v>
      </c>
      <c r="E4">
        <v>90</v>
      </c>
      <c r="F4" t="s">
        <v>21</v>
      </c>
      <c r="G4" t="s">
        <v>13</v>
      </c>
    </row>
    <row r="5" spans="1:10" x14ac:dyDescent="0.3">
      <c r="A5" s="1">
        <v>45748</v>
      </c>
      <c r="B5" t="s">
        <v>28</v>
      </c>
      <c r="C5" t="s">
        <v>25</v>
      </c>
      <c r="D5" t="s">
        <v>24</v>
      </c>
      <c r="E5">
        <v>40</v>
      </c>
      <c r="F5" t="s">
        <v>21</v>
      </c>
      <c r="G5" t="s">
        <v>13</v>
      </c>
    </row>
    <row r="6" spans="1:10" x14ac:dyDescent="0.3">
      <c r="A6" s="1">
        <v>45778</v>
      </c>
      <c r="B6" t="s">
        <v>27</v>
      </c>
      <c r="C6" t="s">
        <v>26</v>
      </c>
      <c r="E6" s="2">
        <v>350</v>
      </c>
      <c r="F6" t="s">
        <v>23</v>
      </c>
      <c r="G6" t="s">
        <v>22</v>
      </c>
    </row>
    <row r="7" spans="1:10" x14ac:dyDescent="0.3">
      <c r="A7" s="1">
        <v>45809</v>
      </c>
      <c r="B7" t="s">
        <v>15</v>
      </c>
      <c r="E7">
        <v>90</v>
      </c>
      <c r="F7" t="s">
        <v>21</v>
      </c>
      <c r="G7" t="s">
        <v>13</v>
      </c>
    </row>
    <row r="8" spans="1:10" x14ac:dyDescent="0.3">
      <c r="A8" s="1">
        <v>45839</v>
      </c>
      <c r="B8" t="s">
        <v>28</v>
      </c>
      <c r="C8" t="s">
        <v>25</v>
      </c>
      <c r="D8" t="s">
        <v>24</v>
      </c>
      <c r="E8">
        <v>40</v>
      </c>
      <c r="F8" t="s">
        <v>21</v>
      </c>
      <c r="G8" t="s">
        <v>13</v>
      </c>
    </row>
    <row r="9" spans="1:10" x14ac:dyDescent="0.3">
      <c r="A9" s="1">
        <v>45870</v>
      </c>
      <c r="B9" t="s">
        <v>27</v>
      </c>
      <c r="C9" t="s">
        <v>26</v>
      </c>
      <c r="E9" s="2">
        <v>350</v>
      </c>
      <c r="F9" t="s">
        <v>23</v>
      </c>
      <c r="G9" t="s">
        <v>22</v>
      </c>
    </row>
    <row r="10" spans="1:10" x14ac:dyDescent="0.3">
      <c r="A10" s="1">
        <v>45901</v>
      </c>
      <c r="B10" t="s">
        <v>8</v>
      </c>
      <c r="C10" t="s">
        <v>9</v>
      </c>
      <c r="D10" t="s">
        <v>10</v>
      </c>
      <c r="E10" t="s">
        <v>11</v>
      </c>
      <c r="F10" t="s">
        <v>12</v>
      </c>
      <c r="G10" t="s">
        <v>13</v>
      </c>
    </row>
    <row r="11" spans="1:10" x14ac:dyDescent="0.3">
      <c r="A11" s="1">
        <v>45931</v>
      </c>
      <c r="B11" t="s">
        <v>15</v>
      </c>
      <c r="C11" t="s">
        <v>16</v>
      </c>
      <c r="D11" t="s">
        <v>17</v>
      </c>
      <c r="E11" t="s">
        <v>18</v>
      </c>
      <c r="F11" t="s">
        <v>19</v>
      </c>
      <c r="G11" t="s">
        <v>20</v>
      </c>
      <c r="H11" t="s">
        <v>14</v>
      </c>
    </row>
    <row r="12" spans="1:10" x14ac:dyDescent="0.3">
      <c r="A12" s="1">
        <v>45962</v>
      </c>
      <c r="B12" t="s">
        <v>15</v>
      </c>
      <c r="E12">
        <v>90</v>
      </c>
      <c r="F12" t="s">
        <v>21</v>
      </c>
      <c r="G12" t="s">
        <v>13</v>
      </c>
    </row>
    <row r="13" spans="1:10" x14ac:dyDescent="0.3">
      <c r="A13" s="1">
        <v>45992</v>
      </c>
      <c r="B13" t="s">
        <v>15</v>
      </c>
      <c r="C13" t="s">
        <v>16</v>
      </c>
      <c r="D13" t="s">
        <v>17</v>
      </c>
      <c r="E13" t="s">
        <v>18</v>
      </c>
      <c r="F13" t="s">
        <v>19</v>
      </c>
      <c r="G13" t="s">
        <v>20</v>
      </c>
      <c r="H13" t="s">
        <v>14</v>
      </c>
      <c r="J13" s="12" t="s">
        <v>68</v>
      </c>
    </row>
    <row r="14" spans="1:10" x14ac:dyDescent="0.3">
      <c r="A14" s="1">
        <v>46023</v>
      </c>
      <c r="B14" t="s">
        <v>15</v>
      </c>
      <c r="E14">
        <v>90</v>
      </c>
      <c r="F14" t="s">
        <v>21</v>
      </c>
      <c r="G14" t="s">
        <v>13</v>
      </c>
    </row>
    <row r="15" spans="1:10" x14ac:dyDescent="0.3">
      <c r="A15" s="1">
        <v>46054</v>
      </c>
      <c r="B15" t="s">
        <v>28</v>
      </c>
      <c r="C15" t="s">
        <v>25</v>
      </c>
      <c r="D15" t="s">
        <v>24</v>
      </c>
      <c r="E15">
        <v>40</v>
      </c>
      <c r="F15" t="s">
        <v>21</v>
      </c>
      <c r="G15" t="s">
        <v>13</v>
      </c>
    </row>
    <row r="16" spans="1:10" x14ac:dyDescent="0.3">
      <c r="A16" s="1">
        <v>46082</v>
      </c>
      <c r="B16" t="s">
        <v>27</v>
      </c>
      <c r="C16" t="s">
        <v>26</v>
      </c>
      <c r="E16" s="2">
        <v>350</v>
      </c>
      <c r="F16" t="s">
        <v>23</v>
      </c>
      <c r="G16" t="s">
        <v>22</v>
      </c>
    </row>
    <row r="17" spans="1:8" x14ac:dyDescent="0.3">
      <c r="A17" s="1">
        <v>46113</v>
      </c>
      <c r="B17" t="s">
        <v>15</v>
      </c>
      <c r="E17">
        <v>90</v>
      </c>
      <c r="F17" t="s">
        <v>21</v>
      </c>
      <c r="G17" t="s">
        <v>13</v>
      </c>
    </row>
    <row r="18" spans="1:8" x14ac:dyDescent="0.3">
      <c r="A18" s="1">
        <v>46143</v>
      </c>
      <c r="B18" t="s">
        <v>28</v>
      </c>
      <c r="C18" t="s">
        <v>25</v>
      </c>
      <c r="D18" t="s">
        <v>24</v>
      </c>
      <c r="E18">
        <v>40</v>
      </c>
      <c r="F18" t="s">
        <v>21</v>
      </c>
      <c r="G18" t="s">
        <v>13</v>
      </c>
    </row>
    <row r="19" spans="1:8" x14ac:dyDescent="0.3">
      <c r="A19" s="1">
        <v>46174</v>
      </c>
      <c r="B19" t="s">
        <v>27</v>
      </c>
      <c r="C19" t="s">
        <v>26</v>
      </c>
      <c r="E19" s="2">
        <v>350</v>
      </c>
      <c r="F19" t="s">
        <v>23</v>
      </c>
      <c r="G19" t="s">
        <v>22</v>
      </c>
    </row>
    <row r="20" spans="1:8" x14ac:dyDescent="0.3">
      <c r="A20" s="1">
        <v>46204</v>
      </c>
      <c r="B20" t="s">
        <v>27</v>
      </c>
      <c r="C20" t="s">
        <v>26</v>
      </c>
      <c r="E20" s="2">
        <v>350</v>
      </c>
      <c r="F20" t="s">
        <v>23</v>
      </c>
      <c r="G20" t="s">
        <v>22</v>
      </c>
    </row>
    <row r="21" spans="1:8" x14ac:dyDescent="0.3">
      <c r="A21" s="1">
        <v>46235</v>
      </c>
      <c r="B21" t="s">
        <v>15</v>
      </c>
      <c r="E21">
        <v>90</v>
      </c>
      <c r="F21" t="s">
        <v>21</v>
      </c>
      <c r="G21" t="s">
        <v>13</v>
      </c>
    </row>
    <row r="22" spans="1:8" x14ac:dyDescent="0.3">
      <c r="A22" s="1">
        <v>46266</v>
      </c>
      <c r="B22" t="s">
        <v>8</v>
      </c>
      <c r="C22" t="s">
        <v>9</v>
      </c>
      <c r="D22" t="s">
        <v>10</v>
      </c>
      <c r="E22" t="s">
        <v>11</v>
      </c>
      <c r="F22" t="s">
        <v>12</v>
      </c>
      <c r="G22" t="s">
        <v>13</v>
      </c>
    </row>
    <row r="23" spans="1:8" x14ac:dyDescent="0.3">
      <c r="A23" s="1">
        <v>46296</v>
      </c>
      <c r="B23" t="s">
        <v>15</v>
      </c>
      <c r="C23" t="s">
        <v>16</v>
      </c>
      <c r="D23" t="s">
        <v>17</v>
      </c>
      <c r="E23" t="s">
        <v>18</v>
      </c>
      <c r="F23" t="s">
        <v>19</v>
      </c>
      <c r="G23" t="s">
        <v>20</v>
      </c>
      <c r="H23" t="s">
        <v>14</v>
      </c>
    </row>
    <row r="24" spans="1:8" x14ac:dyDescent="0.3">
      <c r="A24" s="1">
        <v>46327</v>
      </c>
      <c r="B24" t="s">
        <v>15</v>
      </c>
      <c r="E24">
        <v>90</v>
      </c>
      <c r="F24" t="s">
        <v>21</v>
      </c>
      <c r="G24" t="s">
        <v>13</v>
      </c>
    </row>
    <row r="25" spans="1:8" x14ac:dyDescent="0.3">
      <c r="A25" s="1">
        <v>46357</v>
      </c>
      <c r="B25" t="s">
        <v>28</v>
      </c>
      <c r="C25" t="s">
        <v>25</v>
      </c>
      <c r="D25" t="s">
        <v>24</v>
      </c>
      <c r="E25">
        <v>40</v>
      </c>
      <c r="F25" t="s">
        <v>21</v>
      </c>
      <c r="G25" t="s">
        <v>13</v>
      </c>
    </row>
    <row r="26" spans="1:8" x14ac:dyDescent="0.3">
      <c r="A26" s="1">
        <v>46388</v>
      </c>
      <c r="B26" t="s">
        <v>27</v>
      </c>
      <c r="C26" t="s">
        <v>26</v>
      </c>
      <c r="E26" s="2">
        <v>350</v>
      </c>
      <c r="F26" t="s">
        <v>23</v>
      </c>
      <c r="G26" t="s">
        <v>22</v>
      </c>
    </row>
    <row r="27" spans="1:8" x14ac:dyDescent="0.3">
      <c r="A27" s="1">
        <v>46419</v>
      </c>
      <c r="B27" t="s">
        <v>15</v>
      </c>
      <c r="E27">
        <v>90</v>
      </c>
      <c r="F27" t="s">
        <v>21</v>
      </c>
      <c r="G27" t="s">
        <v>13</v>
      </c>
    </row>
    <row r="28" spans="1:8" x14ac:dyDescent="0.3">
      <c r="A28" s="1">
        <v>46447</v>
      </c>
      <c r="B28" t="s">
        <v>8</v>
      </c>
      <c r="C28" t="s">
        <v>9</v>
      </c>
      <c r="D28" t="s">
        <v>10</v>
      </c>
      <c r="E28" t="s">
        <v>11</v>
      </c>
      <c r="F28" t="s">
        <v>12</v>
      </c>
      <c r="G28" t="s">
        <v>13</v>
      </c>
    </row>
    <row r="29" spans="1:8" x14ac:dyDescent="0.3">
      <c r="A29" s="1">
        <v>46478</v>
      </c>
      <c r="B29" t="s">
        <v>15</v>
      </c>
      <c r="C29" t="s">
        <v>16</v>
      </c>
      <c r="D29" t="s">
        <v>17</v>
      </c>
      <c r="E29" t="s">
        <v>18</v>
      </c>
      <c r="F29" t="s">
        <v>19</v>
      </c>
      <c r="G29" t="s">
        <v>20</v>
      </c>
      <c r="H29" t="s">
        <v>14</v>
      </c>
    </row>
    <row r="30" spans="1:8" x14ac:dyDescent="0.3">
      <c r="A30" s="1">
        <v>46508</v>
      </c>
      <c r="B30" t="s">
        <v>15</v>
      </c>
      <c r="E30">
        <v>90</v>
      </c>
      <c r="F30" t="s">
        <v>21</v>
      </c>
      <c r="G30" t="s">
        <v>13</v>
      </c>
    </row>
    <row r="31" spans="1:8" x14ac:dyDescent="0.3">
      <c r="A31" s="1">
        <v>46539</v>
      </c>
      <c r="B31" t="s">
        <v>28</v>
      </c>
      <c r="C31" t="s">
        <v>25</v>
      </c>
      <c r="D31" t="s">
        <v>24</v>
      </c>
      <c r="E31">
        <v>40</v>
      </c>
      <c r="F31" t="s">
        <v>21</v>
      </c>
      <c r="G31" t="s">
        <v>13</v>
      </c>
    </row>
    <row r="32" spans="1:8" x14ac:dyDescent="0.3">
      <c r="A32" s="1">
        <v>46569</v>
      </c>
      <c r="B32" t="s">
        <v>27</v>
      </c>
      <c r="C32" t="s">
        <v>26</v>
      </c>
      <c r="E32" s="2">
        <v>350</v>
      </c>
      <c r="F32" t="s">
        <v>23</v>
      </c>
      <c r="G32" t="s">
        <v>22</v>
      </c>
    </row>
    <row r="33" spans="1:8" x14ac:dyDescent="0.3">
      <c r="A33" s="1">
        <v>46600</v>
      </c>
      <c r="B33" t="s">
        <v>15</v>
      </c>
      <c r="E33">
        <v>90</v>
      </c>
      <c r="F33" t="s">
        <v>21</v>
      </c>
      <c r="G33" t="s">
        <v>13</v>
      </c>
    </row>
    <row r="34" spans="1:8" x14ac:dyDescent="0.3">
      <c r="A34" s="1">
        <v>46631</v>
      </c>
      <c r="B34" t="s">
        <v>27</v>
      </c>
      <c r="C34" t="s">
        <v>26</v>
      </c>
      <c r="E34" s="2">
        <v>350</v>
      </c>
      <c r="F34" t="s">
        <v>23</v>
      </c>
      <c r="G34" t="s">
        <v>22</v>
      </c>
    </row>
    <row r="35" spans="1:8" x14ac:dyDescent="0.3">
      <c r="A35" s="1">
        <v>46661</v>
      </c>
      <c r="B35" t="s">
        <v>15</v>
      </c>
      <c r="E35">
        <v>90</v>
      </c>
      <c r="F35" t="s">
        <v>21</v>
      </c>
      <c r="G35" t="s">
        <v>13</v>
      </c>
    </row>
    <row r="36" spans="1:8" x14ac:dyDescent="0.3">
      <c r="A36" s="1">
        <v>46692</v>
      </c>
      <c r="B36" t="s">
        <v>28</v>
      </c>
      <c r="C36" t="s">
        <v>25</v>
      </c>
      <c r="D36" t="s">
        <v>24</v>
      </c>
      <c r="E36">
        <v>40</v>
      </c>
      <c r="F36" t="s">
        <v>21</v>
      </c>
      <c r="G36" t="s">
        <v>13</v>
      </c>
    </row>
    <row r="37" spans="1:8" x14ac:dyDescent="0.3">
      <c r="A37" s="1">
        <v>46722</v>
      </c>
      <c r="B37" t="s">
        <v>27</v>
      </c>
      <c r="C37" t="s">
        <v>26</v>
      </c>
      <c r="E37" s="2">
        <v>350</v>
      </c>
      <c r="F37" t="s">
        <v>23</v>
      </c>
      <c r="G37" t="s">
        <v>22</v>
      </c>
    </row>
    <row r="38" spans="1:8" x14ac:dyDescent="0.3">
      <c r="A38" s="1">
        <v>46753</v>
      </c>
      <c r="B38" t="s">
        <v>8</v>
      </c>
      <c r="C38" t="s">
        <v>9</v>
      </c>
      <c r="D38" t="s">
        <v>10</v>
      </c>
      <c r="E38" t="s">
        <v>11</v>
      </c>
      <c r="F38" t="s">
        <v>12</v>
      </c>
      <c r="G38" t="s">
        <v>13</v>
      </c>
    </row>
    <row r="39" spans="1:8" x14ac:dyDescent="0.3">
      <c r="A39" s="1">
        <v>46784</v>
      </c>
      <c r="B39" t="s">
        <v>15</v>
      </c>
      <c r="C39" t="s">
        <v>16</v>
      </c>
      <c r="D39" t="s">
        <v>17</v>
      </c>
      <c r="E39" t="s">
        <v>18</v>
      </c>
      <c r="F39" t="s">
        <v>19</v>
      </c>
      <c r="G39" t="s">
        <v>20</v>
      </c>
      <c r="H39" t="s">
        <v>14</v>
      </c>
    </row>
    <row r="40" spans="1:8" x14ac:dyDescent="0.3">
      <c r="A40" s="1">
        <v>46813</v>
      </c>
      <c r="B40" t="s">
        <v>15</v>
      </c>
      <c r="E40">
        <v>90</v>
      </c>
      <c r="F40" t="s">
        <v>21</v>
      </c>
      <c r="G40" t="s">
        <v>13</v>
      </c>
    </row>
    <row r="41" spans="1:8" x14ac:dyDescent="0.3">
      <c r="A41" s="1">
        <v>46844</v>
      </c>
      <c r="B41" t="s">
        <v>15</v>
      </c>
      <c r="C41" t="s">
        <v>16</v>
      </c>
      <c r="D41" t="s">
        <v>17</v>
      </c>
      <c r="E41" t="s">
        <v>18</v>
      </c>
      <c r="F41" t="s">
        <v>19</v>
      </c>
      <c r="G41" t="s">
        <v>20</v>
      </c>
      <c r="H41" t="s">
        <v>14</v>
      </c>
    </row>
    <row r="42" spans="1:8" x14ac:dyDescent="0.3">
      <c r="A42" s="1">
        <v>46874</v>
      </c>
      <c r="B42" t="s">
        <v>15</v>
      </c>
      <c r="E42">
        <v>90</v>
      </c>
      <c r="F42" t="s">
        <v>21</v>
      </c>
      <c r="G42" t="s">
        <v>13</v>
      </c>
    </row>
    <row r="43" spans="1:8" x14ac:dyDescent="0.3">
      <c r="A43" s="1">
        <v>46905</v>
      </c>
      <c r="B43" t="s">
        <v>28</v>
      </c>
      <c r="C43" t="s">
        <v>25</v>
      </c>
      <c r="D43" t="s">
        <v>24</v>
      </c>
      <c r="E43">
        <v>40</v>
      </c>
      <c r="F43" t="s">
        <v>21</v>
      </c>
      <c r="G43" t="s">
        <v>13</v>
      </c>
    </row>
    <row r="44" spans="1:8" x14ac:dyDescent="0.3">
      <c r="A44" s="1">
        <v>46935</v>
      </c>
      <c r="B44" t="s">
        <v>15</v>
      </c>
      <c r="E44">
        <v>90</v>
      </c>
      <c r="F44" t="s">
        <v>21</v>
      </c>
      <c r="G44" t="s">
        <v>13</v>
      </c>
    </row>
    <row r="45" spans="1:8" x14ac:dyDescent="0.3">
      <c r="A45" s="1">
        <v>46966</v>
      </c>
      <c r="B45" t="s">
        <v>28</v>
      </c>
      <c r="C45" t="s">
        <v>25</v>
      </c>
      <c r="D45" t="s">
        <v>24</v>
      </c>
      <c r="E45">
        <v>40</v>
      </c>
      <c r="F45" t="s">
        <v>21</v>
      </c>
      <c r="G45" t="s">
        <v>13</v>
      </c>
    </row>
    <row r="46" spans="1:8" x14ac:dyDescent="0.3">
      <c r="A46" s="1">
        <v>46997</v>
      </c>
      <c r="B46" t="s">
        <v>27</v>
      </c>
      <c r="C46" t="s">
        <v>26</v>
      </c>
      <c r="E46" s="2">
        <v>350</v>
      </c>
      <c r="F46" t="s">
        <v>23</v>
      </c>
      <c r="G46" t="s">
        <v>22</v>
      </c>
    </row>
    <row r="47" spans="1:8" x14ac:dyDescent="0.3">
      <c r="A47" s="1">
        <v>47027</v>
      </c>
      <c r="B47" t="s">
        <v>8</v>
      </c>
      <c r="C47" t="s">
        <v>9</v>
      </c>
      <c r="D47" t="s">
        <v>10</v>
      </c>
      <c r="E47" t="s">
        <v>11</v>
      </c>
      <c r="F47" t="s">
        <v>12</v>
      </c>
      <c r="G47" t="s">
        <v>13</v>
      </c>
    </row>
    <row r="48" spans="1:8" x14ac:dyDescent="0.3">
      <c r="A48" s="1">
        <v>47058</v>
      </c>
      <c r="B48" t="s">
        <v>15</v>
      </c>
      <c r="C48" t="s">
        <v>16</v>
      </c>
      <c r="D48" t="s">
        <v>17</v>
      </c>
      <c r="E48" t="s">
        <v>18</v>
      </c>
      <c r="F48" t="s">
        <v>19</v>
      </c>
      <c r="G48" t="s">
        <v>20</v>
      </c>
      <c r="H48" t="s">
        <v>14</v>
      </c>
    </row>
    <row r="49" spans="1:8" x14ac:dyDescent="0.3">
      <c r="A49" s="1">
        <v>47088</v>
      </c>
      <c r="B49" t="s">
        <v>15</v>
      </c>
      <c r="E49">
        <v>90</v>
      </c>
      <c r="F49" t="s">
        <v>21</v>
      </c>
      <c r="G49" t="s">
        <v>13</v>
      </c>
    </row>
    <row r="50" spans="1:8" x14ac:dyDescent="0.3">
      <c r="A50" s="1">
        <v>47119</v>
      </c>
      <c r="B50" t="s">
        <v>15</v>
      </c>
      <c r="C50" t="s">
        <v>16</v>
      </c>
      <c r="D50" t="s">
        <v>17</v>
      </c>
      <c r="E50" t="s">
        <v>18</v>
      </c>
      <c r="F50" t="s">
        <v>19</v>
      </c>
      <c r="G50" t="s">
        <v>20</v>
      </c>
      <c r="H50" t="s">
        <v>14</v>
      </c>
    </row>
    <row r="51" spans="1:8" x14ac:dyDescent="0.3">
      <c r="A51" s="1">
        <v>47150</v>
      </c>
      <c r="B51" t="s">
        <v>15</v>
      </c>
      <c r="E51">
        <v>90</v>
      </c>
      <c r="F51" t="s">
        <v>21</v>
      </c>
      <c r="G51" t="s">
        <v>13</v>
      </c>
    </row>
    <row r="52" spans="1:8" x14ac:dyDescent="0.3">
      <c r="A52" s="1">
        <v>47178</v>
      </c>
      <c r="B52" t="s">
        <v>15</v>
      </c>
      <c r="E52">
        <v>90</v>
      </c>
      <c r="F52" t="s">
        <v>21</v>
      </c>
      <c r="G52" t="s">
        <v>13</v>
      </c>
    </row>
    <row r="53" spans="1:8" x14ac:dyDescent="0.3">
      <c r="A53" s="1">
        <v>47209</v>
      </c>
      <c r="B53" t="s">
        <v>28</v>
      </c>
      <c r="C53" t="s">
        <v>25</v>
      </c>
      <c r="D53" t="s">
        <v>24</v>
      </c>
      <c r="E53">
        <v>40</v>
      </c>
      <c r="F53" t="s">
        <v>21</v>
      </c>
      <c r="G53" t="s">
        <v>13</v>
      </c>
    </row>
    <row r="54" spans="1:8" x14ac:dyDescent="0.3">
      <c r="A54" s="1">
        <v>47239</v>
      </c>
      <c r="B54" t="s">
        <v>27</v>
      </c>
      <c r="C54" t="s">
        <v>26</v>
      </c>
      <c r="E54" s="2">
        <v>350</v>
      </c>
      <c r="F54" t="s">
        <v>23</v>
      </c>
      <c r="G54" t="s">
        <v>22</v>
      </c>
    </row>
    <row r="55" spans="1:8" x14ac:dyDescent="0.3">
      <c r="A55" s="1">
        <v>47270</v>
      </c>
      <c r="B55" t="s">
        <v>8</v>
      </c>
      <c r="C55" t="s">
        <v>9</v>
      </c>
      <c r="D55" t="s">
        <v>10</v>
      </c>
      <c r="E55" t="s">
        <v>11</v>
      </c>
      <c r="F55" t="s">
        <v>12</v>
      </c>
      <c r="G55" t="s">
        <v>13</v>
      </c>
    </row>
    <row r="56" spans="1:8" x14ac:dyDescent="0.3">
      <c r="A56" s="1">
        <v>47300</v>
      </c>
      <c r="B56" t="s">
        <v>15</v>
      </c>
      <c r="C56" t="s">
        <v>16</v>
      </c>
      <c r="D56" t="s">
        <v>17</v>
      </c>
      <c r="E56" t="s">
        <v>18</v>
      </c>
      <c r="F56" t="s">
        <v>19</v>
      </c>
      <c r="G56" t="s">
        <v>20</v>
      </c>
      <c r="H56" t="s">
        <v>14</v>
      </c>
    </row>
    <row r="57" spans="1:8" x14ac:dyDescent="0.3">
      <c r="A57" s="1">
        <v>47331</v>
      </c>
      <c r="B57" t="s">
        <v>15</v>
      </c>
      <c r="E57">
        <v>90</v>
      </c>
      <c r="F57" t="s">
        <v>21</v>
      </c>
      <c r="G57" t="s">
        <v>13</v>
      </c>
    </row>
    <row r="58" spans="1:8" x14ac:dyDescent="0.3">
      <c r="A58" s="1">
        <v>47362</v>
      </c>
      <c r="B58" t="s">
        <v>15</v>
      </c>
      <c r="C58" t="s">
        <v>16</v>
      </c>
      <c r="D58" t="s">
        <v>17</v>
      </c>
      <c r="E58" t="s">
        <v>18</v>
      </c>
      <c r="F58" t="s">
        <v>19</v>
      </c>
      <c r="G58" t="s">
        <v>20</v>
      </c>
      <c r="H58" t="s">
        <v>14</v>
      </c>
    </row>
    <row r="59" spans="1:8" x14ac:dyDescent="0.3">
      <c r="A59" s="1">
        <v>47392</v>
      </c>
      <c r="B59" t="s">
        <v>15</v>
      </c>
      <c r="E59">
        <v>90</v>
      </c>
      <c r="F59" t="s">
        <v>21</v>
      </c>
      <c r="G59" t="s">
        <v>13</v>
      </c>
    </row>
    <row r="60" spans="1:8" x14ac:dyDescent="0.3">
      <c r="A60" s="1">
        <v>47423</v>
      </c>
      <c r="B60" t="s">
        <v>15</v>
      </c>
      <c r="E60">
        <v>90</v>
      </c>
      <c r="F60" t="s">
        <v>21</v>
      </c>
      <c r="G60" t="s">
        <v>13</v>
      </c>
    </row>
    <row r="61" spans="1:8" x14ac:dyDescent="0.3">
      <c r="A61" s="1">
        <v>47453</v>
      </c>
      <c r="B61" t="s">
        <v>28</v>
      </c>
      <c r="C61" t="s">
        <v>25</v>
      </c>
      <c r="D61" t="s">
        <v>24</v>
      </c>
      <c r="E61">
        <v>40</v>
      </c>
      <c r="F61" t="s">
        <v>21</v>
      </c>
      <c r="G61" t="s">
        <v>13</v>
      </c>
    </row>
    <row r="62" spans="1:8" x14ac:dyDescent="0.3">
      <c r="A62" s="1">
        <v>47484</v>
      </c>
      <c r="B62" t="s">
        <v>27</v>
      </c>
      <c r="C62" t="s">
        <v>26</v>
      </c>
      <c r="E62" s="2">
        <v>350</v>
      </c>
      <c r="F62" t="s">
        <v>23</v>
      </c>
      <c r="G62" t="s">
        <v>22</v>
      </c>
    </row>
    <row r="63" spans="1:8" x14ac:dyDescent="0.3">
      <c r="A63" s="1">
        <v>47515</v>
      </c>
      <c r="B63" t="s">
        <v>8</v>
      </c>
      <c r="C63" t="s">
        <v>9</v>
      </c>
      <c r="D63" t="s">
        <v>10</v>
      </c>
      <c r="E63" t="s">
        <v>11</v>
      </c>
      <c r="F63" t="s">
        <v>12</v>
      </c>
      <c r="G63" t="s">
        <v>13</v>
      </c>
    </row>
    <row r="64" spans="1:8" x14ac:dyDescent="0.3">
      <c r="A64" s="1">
        <v>47543</v>
      </c>
      <c r="B64" t="s">
        <v>15</v>
      </c>
      <c r="C64" t="s">
        <v>16</v>
      </c>
      <c r="D64" t="s">
        <v>17</v>
      </c>
      <c r="E64" t="s">
        <v>18</v>
      </c>
      <c r="F64" t="s">
        <v>19</v>
      </c>
      <c r="G64" t="s">
        <v>20</v>
      </c>
      <c r="H64" t="s">
        <v>14</v>
      </c>
    </row>
    <row r="65" spans="1:8" x14ac:dyDescent="0.3">
      <c r="A65" s="1">
        <v>47574</v>
      </c>
      <c r="B65" t="s">
        <v>15</v>
      </c>
      <c r="E65">
        <v>90</v>
      </c>
      <c r="F65" t="s">
        <v>21</v>
      </c>
      <c r="G65" t="s">
        <v>13</v>
      </c>
    </row>
    <row r="66" spans="1:8" x14ac:dyDescent="0.3">
      <c r="A66" s="1">
        <v>47604</v>
      </c>
      <c r="B66" t="s">
        <v>15</v>
      </c>
      <c r="C66" t="s">
        <v>16</v>
      </c>
      <c r="D66" t="s">
        <v>17</v>
      </c>
      <c r="E66" t="s">
        <v>18</v>
      </c>
      <c r="F66" t="s">
        <v>19</v>
      </c>
      <c r="G66" t="s">
        <v>20</v>
      </c>
      <c r="H66" t="s">
        <v>14</v>
      </c>
    </row>
    <row r="67" spans="1:8" x14ac:dyDescent="0.3">
      <c r="A67" s="1">
        <v>47635</v>
      </c>
      <c r="B67" t="s">
        <v>15</v>
      </c>
      <c r="E67">
        <v>90</v>
      </c>
      <c r="F67" t="s">
        <v>21</v>
      </c>
      <c r="G67" t="s">
        <v>13</v>
      </c>
    </row>
    <row r="68" spans="1:8" x14ac:dyDescent="0.3">
      <c r="A68" s="1">
        <v>47665</v>
      </c>
      <c r="B68" t="s">
        <v>28</v>
      </c>
      <c r="C68" t="s">
        <v>25</v>
      </c>
      <c r="D68" t="s">
        <v>24</v>
      </c>
      <c r="E68">
        <v>40</v>
      </c>
      <c r="F68" t="s">
        <v>21</v>
      </c>
      <c r="G68" t="s">
        <v>13</v>
      </c>
    </row>
    <row r="69" spans="1:8" x14ac:dyDescent="0.3">
      <c r="A69" s="1">
        <v>47696</v>
      </c>
      <c r="B69" t="s">
        <v>27</v>
      </c>
      <c r="C69" t="s">
        <v>26</v>
      </c>
      <c r="E69" s="2">
        <v>350</v>
      </c>
      <c r="F69" t="s">
        <v>23</v>
      </c>
      <c r="G69" t="s">
        <v>22</v>
      </c>
    </row>
    <row r="70" spans="1:8" x14ac:dyDescent="0.3">
      <c r="A70" s="1">
        <v>47727</v>
      </c>
      <c r="B70" t="s">
        <v>8</v>
      </c>
      <c r="C70" t="s">
        <v>9</v>
      </c>
      <c r="D70" t="s">
        <v>10</v>
      </c>
      <c r="E70" t="s">
        <v>11</v>
      </c>
      <c r="F70" t="s">
        <v>12</v>
      </c>
      <c r="G70" t="s">
        <v>13</v>
      </c>
    </row>
    <row r="71" spans="1:8" x14ac:dyDescent="0.3">
      <c r="A71" s="1">
        <v>47757</v>
      </c>
      <c r="B71" t="s">
        <v>15</v>
      </c>
      <c r="C71" t="s">
        <v>16</v>
      </c>
      <c r="D71" t="s">
        <v>17</v>
      </c>
      <c r="E71" t="s">
        <v>18</v>
      </c>
      <c r="F71" t="s">
        <v>19</v>
      </c>
      <c r="G71" t="s">
        <v>20</v>
      </c>
      <c r="H71" t="s">
        <v>14</v>
      </c>
    </row>
    <row r="72" spans="1:8" x14ac:dyDescent="0.3">
      <c r="A72" s="1">
        <v>47788</v>
      </c>
      <c r="B72" t="s">
        <v>15</v>
      </c>
      <c r="E72">
        <v>90</v>
      </c>
      <c r="F72" t="s">
        <v>21</v>
      </c>
      <c r="G72" t="s">
        <v>13</v>
      </c>
    </row>
    <row r="73" spans="1:8" x14ac:dyDescent="0.3">
      <c r="A73" s="1">
        <v>47818</v>
      </c>
      <c r="B73" t="s">
        <v>15</v>
      </c>
      <c r="C73" t="s">
        <v>16</v>
      </c>
      <c r="D73" t="s">
        <v>17</v>
      </c>
      <c r="E73" t="s">
        <v>18</v>
      </c>
      <c r="F73" t="s">
        <v>19</v>
      </c>
      <c r="G73" t="s">
        <v>20</v>
      </c>
      <c r="H73" t="s">
        <v>14</v>
      </c>
    </row>
    <row r="74" spans="1:8" x14ac:dyDescent="0.3">
      <c r="A74" s="1">
        <v>47849</v>
      </c>
      <c r="B74" t="s">
        <v>15</v>
      </c>
      <c r="E74">
        <v>90</v>
      </c>
      <c r="F74" t="s">
        <v>21</v>
      </c>
      <c r="G74" t="s">
        <v>13</v>
      </c>
    </row>
    <row r="75" spans="1:8" x14ac:dyDescent="0.3">
      <c r="A75" s="1">
        <v>47880</v>
      </c>
      <c r="B75" t="s">
        <v>28</v>
      </c>
      <c r="C75" t="s">
        <v>25</v>
      </c>
      <c r="D75" t="s">
        <v>24</v>
      </c>
      <c r="E75">
        <v>40</v>
      </c>
      <c r="F75" t="s">
        <v>21</v>
      </c>
      <c r="G75" t="s">
        <v>13</v>
      </c>
    </row>
    <row r="76" spans="1:8" x14ac:dyDescent="0.3">
      <c r="A76" s="1">
        <v>47908</v>
      </c>
      <c r="B76" t="s">
        <v>27</v>
      </c>
      <c r="C76" t="s">
        <v>26</v>
      </c>
      <c r="E76" s="2">
        <v>350</v>
      </c>
      <c r="F76" t="s">
        <v>23</v>
      </c>
      <c r="G76" t="s">
        <v>22</v>
      </c>
    </row>
    <row r="77" spans="1:8" x14ac:dyDescent="0.3">
      <c r="A77" s="1">
        <v>47939</v>
      </c>
      <c r="B77" t="s">
        <v>8</v>
      </c>
      <c r="C77" t="s">
        <v>9</v>
      </c>
      <c r="D77" t="s">
        <v>10</v>
      </c>
      <c r="E77" t="s">
        <v>11</v>
      </c>
      <c r="F77" t="s">
        <v>12</v>
      </c>
      <c r="G77" t="s">
        <v>13</v>
      </c>
    </row>
    <row r="78" spans="1:8" x14ac:dyDescent="0.3">
      <c r="A78" s="1">
        <v>47969</v>
      </c>
      <c r="B78" t="s">
        <v>15</v>
      </c>
      <c r="C78" t="s">
        <v>16</v>
      </c>
      <c r="D78" t="s">
        <v>17</v>
      </c>
      <c r="E78" t="s">
        <v>18</v>
      </c>
      <c r="F78" t="s">
        <v>19</v>
      </c>
      <c r="G78" t="s">
        <v>20</v>
      </c>
      <c r="H78" t="s">
        <v>14</v>
      </c>
    </row>
    <row r="79" spans="1:8" x14ac:dyDescent="0.3">
      <c r="A79" s="1">
        <v>48000</v>
      </c>
      <c r="B79" t="s">
        <v>15</v>
      </c>
      <c r="E79">
        <v>90</v>
      </c>
      <c r="F79" t="s">
        <v>21</v>
      </c>
      <c r="G79" t="s">
        <v>13</v>
      </c>
    </row>
    <row r="80" spans="1:8" x14ac:dyDescent="0.3">
      <c r="A80" s="1">
        <v>48030</v>
      </c>
      <c r="B80" t="s">
        <v>15</v>
      </c>
      <c r="C80" t="s">
        <v>16</v>
      </c>
      <c r="D80" t="s">
        <v>17</v>
      </c>
      <c r="E80" t="s">
        <v>18</v>
      </c>
      <c r="F80" t="s">
        <v>19</v>
      </c>
      <c r="G80" t="s">
        <v>20</v>
      </c>
      <c r="H80" t="s">
        <v>14</v>
      </c>
    </row>
    <row r="81" spans="1:8" x14ac:dyDescent="0.3">
      <c r="A81" s="1">
        <v>48061</v>
      </c>
      <c r="B81" t="s">
        <v>15</v>
      </c>
      <c r="E81">
        <v>90</v>
      </c>
      <c r="F81" t="s">
        <v>21</v>
      </c>
      <c r="G81" t="s">
        <v>13</v>
      </c>
    </row>
    <row r="82" spans="1:8" x14ac:dyDescent="0.3">
      <c r="A82" s="1">
        <v>48092</v>
      </c>
      <c r="B82" t="s">
        <v>15</v>
      </c>
      <c r="E82">
        <v>90</v>
      </c>
      <c r="F82" t="s">
        <v>21</v>
      </c>
      <c r="G82" t="s">
        <v>13</v>
      </c>
    </row>
    <row r="83" spans="1:8" x14ac:dyDescent="0.3">
      <c r="A83" s="1">
        <v>48122</v>
      </c>
      <c r="B83" t="s">
        <v>28</v>
      </c>
      <c r="C83" t="s">
        <v>25</v>
      </c>
      <c r="D83" t="s">
        <v>24</v>
      </c>
      <c r="E83">
        <v>40</v>
      </c>
      <c r="F83" t="s">
        <v>21</v>
      </c>
      <c r="G83" t="s">
        <v>13</v>
      </c>
    </row>
    <row r="84" spans="1:8" x14ac:dyDescent="0.3">
      <c r="A84" s="1">
        <v>48153</v>
      </c>
      <c r="B84" t="s">
        <v>27</v>
      </c>
      <c r="C84" t="s">
        <v>26</v>
      </c>
      <c r="E84" s="2">
        <v>350</v>
      </c>
      <c r="F84" t="s">
        <v>23</v>
      </c>
      <c r="G84" t="s">
        <v>22</v>
      </c>
    </row>
    <row r="85" spans="1:8" x14ac:dyDescent="0.3">
      <c r="A85" s="1">
        <v>48183</v>
      </c>
      <c r="B85" t="s">
        <v>8</v>
      </c>
      <c r="C85" t="s">
        <v>9</v>
      </c>
      <c r="D85" t="s">
        <v>10</v>
      </c>
      <c r="E85" t="s">
        <v>11</v>
      </c>
      <c r="F85" t="s">
        <v>12</v>
      </c>
      <c r="G85" t="s">
        <v>13</v>
      </c>
    </row>
    <row r="86" spans="1:8" x14ac:dyDescent="0.3">
      <c r="A86" s="1">
        <v>48214</v>
      </c>
      <c r="B86" t="s">
        <v>15</v>
      </c>
      <c r="E86">
        <v>90</v>
      </c>
      <c r="F86" t="s">
        <v>21</v>
      </c>
      <c r="G86" t="s">
        <v>13</v>
      </c>
    </row>
    <row r="87" spans="1:8" x14ac:dyDescent="0.3">
      <c r="A87" s="1">
        <v>48245</v>
      </c>
      <c r="B87" t="s">
        <v>28</v>
      </c>
      <c r="C87" t="s">
        <v>25</v>
      </c>
      <c r="D87" t="s">
        <v>24</v>
      </c>
      <c r="E87">
        <v>40</v>
      </c>
      <c r="F87" t="s">
        <v>21</v>
      </c>
      <c r="G87" t="s">
        <v>13</v>
      </c>
    </row>
    <row r="88" spans="1:8" x14ac:dyDescent="0.3">
      <c r="A88" s="1">
        <v>48274</v>
      </c>
      <c r="B88" t="s">
        <v>27</v>
      </c>
      <c r="C88" t="s">
        <v>26</v>
      </c>
      <c r="E88" s="2">
        <v>350</v>
      </c>
      <c r="F88" t="s">
        <v>23</v>
      </c>
      <c r="G88" t="s">
        <v>22</v>
      </c>
    </row>
    <row r="89" spans="1:8" x14ac:dyDescent="0.3">
      <c r="A89" s="1">
        <v>48305</v>
      </c>
      <c r="B89" t="s">
        <v>8</v>
      </c>
      <c r="C89" t="s">
        <v>9</v>
      </c>
      <c r="D89" t="s">
        <v>10</v>
      </c>
      <c r="E89" t="s">
        <v>11</v>
      </c>
      <c r="F89" t="s">
        <v>12</v>
      </c>
      <c r="G89" t="s">
        <v>13</v>
      </c>
    </row>
    <row r="90" spans="1:8" x14ac:dyDescent="0.3">
      <c r="A90" s="1">
        <v>48335</v>
      </c>
      <c r="B90" t="s">
        <v>15</v>
      </c>
      <c r="E90">
        <v>90</v>
      </c>
      <c r="F90" t="s">
        <v>21</v>
      </c>
      <c r="G90" t="s">
        <v>13</v>
      </c>
    </row>
    <row r="91" spans="1:8" x14ac:dyDescent="0.3">
      <c r="A91" s="1">
        <v>48366</v>
      </c>
      <c r="B91" t="s">
        <v>28</v>
      </c>
      <c r="C91" t="s">
        <v>25</v>
      </c>
      <c r="D91" t="s">
        <v>24</v>
      </c>
      <c r="E91">
        <v>40</v>
      </c>
      <c r="F91" t="s">
        <v>21</v>
      </c>
      <c r="G91" t="s">
        <v>13</v>
      </c>
    </row>
    <row r="92" spans="1:8" x14ac:dyDescent="0.3">
      <c r="A92" s="1">
        <v>48396</v>
      </c>
      <c r="B92" t="s">
        <v>27</v>
      </c>
      <c r="C92" t="s">
        <v>26</v>
      </c>
      <c r="E92" s="2">
        <v>350</v>
      </c>
      <c r="F92" t="s">
        <v>23</v>
      </c>
      <c r="G92" t="s">
        <v>22</v>
      </c>
    </row>
    <row r="93" spans="1:8" x14ac:dyDescent="0.3">
      <c r="A93" s="1">
        <v>48427</v>
      </c>
      <c r="B93" t="s">
        <v>8</v>
      </c>
      <c r="C93" t="s">
        <v>9</v>
      </c>
      <c r="D93" t="s">
        <v>10</v>
      </c>
      <c r="E93" t="s">
        <v>11</v>
      </c>
      <c r="F93" t="s">
        <v>12</v>
      </c>
      <c r="G93" t="s">
        <v>13</v>
      </c>
    </row>
    <row r="94" spans="1:8" x14ac:dyDescent="0.3">
      <c r="A94" s="1">
        <v>48458</v>
      </c>
      <c r="B94" t="s">
        <v>15</v>
      </c>
      <c r="C94" t="s">
        <v>16</v>
      </c>
      <c r="D94" t="s">
        <v>17</v>
      </c>
      <c r="E94" t="s">
        <v>18</v>
      </c>
      <c r="F94" t="s">
        <v>19</v>
      </c>
      <c r="G94" t="s">
        <v>20</v>
      </c>
      <c r="H94" t="s">
        <v>14</v>
      </c>
    </row>
    <row r="95" spans="1:8" x14ac:dyDescent="0.3">
      <c r="A95" s="1">
        <v>48488</v>
      </c>
      <c r="B95" t="s">
        <v>15</v>
      </c>
      <c r="E95">
        <v>90</v>
      </c>
      <c r="F95" t="s">
        <v>21</v>
      </c>
      <c r="G95" t="s">
        <v>13</v>
      </c>
    </row>
    <row r="96" spans="1:8" x14ac:dyDescent="0.3">
      <c r="A96" s="1">
        <v>48519</v>
      </c>
      <c r="B96" t="s">
        <v>15</v>
      </c>
      <c r="C96" t="s">
        <v>16</v>
      </c>
      <c r="D96" t="s">
        <v>17</v>
      </c>
      <c r="E96" t="s">
        <v>18</v>
      </c>
      <c r="F96" t="s">
        <v>19</v>
      </c>
      <c r="G96" t="s">
        <v>20</v>
      </c>
      <c r="H96" t="s">
        <v>14</v>
      </c>
    </row>
    <row r="97" spans="1:8" x14ac:dyDescent="0.3">
      <c r="A97" s="1">
        <v>48549</v>
      </c>
      <c r="B97" t="s">
        <v>15</v>
      </c>
      <c r="E97">
        <v>90</v>
      </c>
      <c r="F97" t="s">
        <v>21</v>
      </c>
      <c r="G97" t="s">
        <v>13</v>
      </c>
    </row>
    <row r="98" spans="1:8" x14ac:dyDescent="0.3">
      <c r="A98" s="1">
        <v>48580</v>
      </c>
      <c r="B98" t="s">
        <v>15</v>
      </c>
      <c r="C98" t="s">
        <v>16</v>
      </c>
      <c r="D98" t="s">
        <v>17</v>
      </c>
      <c r="E98" t="s">
        <v>18</v>
      </c>
      <c r="F98" t="s">
        <v>19</v>
      </c>
      <c r="G98" t="s">
        <v>20</v>
      </c>
      <c r="H98" t="s">
        <v>14</v>
      </c>
    </row>
    <row r="99" spans="1:8" x14ac:dyDescent="0.3">
      <c r="A99" s="1">
        <v>48611</v>
      </c>
      <c r="B99" t="s">
        <v>15</v>
      </c>
      <c r="E99">
        <v>90</v>
      </c>
      <c r="F99" t="s">
        <v>21</v>
      </c>
      <c r="G99" t="s">
        <v>13</v>
      </c>
    </row>
    <row r="100" spans="1:8" x14ac:dyDescent="0.3">
      <c r="A100" s="1">
        <v>48639</v>
      </c>
      <c r="B100" t="s">
        <v>15</v>
      </c>
      <c r="C100" t="s">
        <v>16</v>
      </c>
      <c r="D100" t="s">
        <v>17</v>
      </c>
      <c r="E100" t="s">
        <v>18</v>
      </c>
      <c r="F100" t="s">
        <v>19</v>
      </c>
      <c r="G100" t="s">
        <v>20</v>
      </c>
      <c r="H100" t="s">
        <v>14</v>
      </c>
    </row>
    <row r="101" spans="1:8" x14ac:dyDescent="0.3">
      <c r="A101" s="1">
        <v>48670</v>
      </c>
      <c r="B101" t="s">
        <v>15</v>
      </c>
      <c r="E101">
        <v>90</v>
      </c>
      <c r="F101" t="s">
        <v>21</v>
      </c>
      <c r="G101" t="s">
        <v>13</v>
      </c>
    </row>
    <row r="102" spans="1:8" x14ac:dyDescent="0.3">
      <c r="A102" s="1">
        <v>48700</v>
      </c>
      <c r="B102" t="s">
        <v>28</v>
      </c>
      <c r="C102" t="s">
        <v>25</v>
      </c>
      <c r="D102" t="s">
        <v>24</v>
      </c>
      <c r="E102">
        <v>40</v>
      </c>
      <c r="F102" t="s">
        <v>21</v>
      </c>
      <c r="G102" t="s">
        <v>13</v>
      </c>
    </row>
    <row r="103" spans="1:8" x14ac:dyDescent="0.3">
      <c r="A103" s="1">
        <v>48731</v>
      </c>
      <c r="B103" t="s">
        <v>27</v>
      </c>
      <c r="C103" t="s">
        <v>26</v>
      </c>
      <c r="E103" s="2">
        <v>350</v>
      </c>
      <c r="F103" t="s">
        <v>23</v>
      </c>
      <c r="G103" t="s">
        <v>22</v>
      </c>
    </row>
    <row r="104" spans="1:8" x14ac:dyDescent="0.3">
      <c r="A104" s="1">
        <v>48761</v>
      </c>
      <c r="B104" t="s">
        <v>8</v>
      </c>
      <c r="C104" t="s">
        <v>9</v>
      </c>
      <c r="D104" t="s">
        <v>10</v>
      </c>
      <c r="E104" t="s">
        <v>11</v>
      </c>
      <c r="F104" t="s">
        <v>12</v>
      </c>
      <c r="G104" t="s">
        <v>13</v>
      </c>
    </row>
    <row r="105" spans="1:8" x14ac:dyDescent="0.3">
      <c r="A105" s="1">
        <v>48792</v>
      </c>
      <c r="B105" t="s">
        <v>15</v>
      </c>
      <c r="C105" t="s">
        <v>16</v>
      </c>
      <c r="D105" t="s">
        <v>17</v>
      </c>
      <c r="E105" t="s">
        <v>18</v>
      </c>
      <c r="F105" t="s">
        <v>19</v>
      </c>
      <c r="G105" t="s">
        <v>20</v>
      </c>
      <c r="H105" t="s">
        <v>14</v>
      </c>
    </row>
    <row r="106" spans="1:8" x14ac:dyDescent="0.3">
      <c r="A106" s="1">
        <v>48823</v>
      </c>
      <c r="B106" t="s">
        <v>15</v>
      </c>
      <c r="E106">
        <v>90</v>
      </c>
      <c r="F106" t="s">
        <v>21</v>
      </c>
      <c r="G106" t="s">
        <v>13</v>
      </c>
    </row>
    <row r="107" spans="1:8" x14ac:dyDescent="0.3">
      <c r="A107" s="1">
        <v>48853</v>
      </c>
      <c r="B107" t="s">
        <v>28</v>
      </c>
      <c r="C107" t="s">
        <v>25</v>
      </c>
      <c r="D107" t="s">
        <v>24</v>
      </c>
      <c r="E107">
        <v>40</v>
      </c>
      <c r="F107" t="s">
        <v>21</v>
      </c>
      <c r="G107" t="s">
        <v>13</v>
      </c>
    </row>
    <row r="108" spans="1:8" x14ac:dyDescent="0.3">
      <c r="A108" s="1">
        <v>48884</v>
      </c>
      <c r="B108" t="s">
        <v>27</v>
      </c>
      <c r="C108" t="s">
        <v>26</v>
      </c>
      <c r="E108" s="2">
        <v>350</v>
      </c>
      <c r="F108" t="s">
        <v>23</v>
      </c>
      <c r="G108" t="s">
        <v>22</v>
      </c>
    </row>
    <row r="109" spans="1:8" x14ac:dyDescent="0.3">
      <c r="A109" s="1">
        <v>48914</v>
      </c>
      <c r="B109" t="s">
        <v>8</v>
      </c>
      <c r="C109" t="s">
        <v>9</v>
      </c>
      <c r="D109" t="s">
        <v>10</v>
      </c>
      <c r="E109" t="s">
        <v>11</v>
      </c>
      <c r="F109" t="s">
        <v>12</v>
      </c>
      <c r="G109" t="s">
        <v>13</v>
      </c>
    </row>
    <row r="110" spans="1:8" x14ac:dyDescent="0.3">
      <c r="A110" s="1">
        <v>48945</v>
      </c>
      <c r="B110" t="s">
        <v>15</v>
      </c>
      <c r="C110" t="s">
        <v>16</v>
      </c>
      <c r="D110" t="s">
        <v>17</v>
      </c>
      <c r="E110" t="s">
        <v>18</v>
      </c>
      <c r="F110" t="s">
        <v>19</v>
      </c>
      <c r="G110" t="s">
        <v>20</v>
      </c>
      <c r="H110" t="s">
        <v>14</v>
      </c>
    </row>
    <row r="111" spans="1:8" x14ac:dyDescent="0.3">
      <c r="A111" s="1">
        <v>48976</v>
      </c>
      <c r="B111" t="s">
        <v>15</v>
      </c>
      <c r="E111">
        <v>90</v>
      </c>
      <c r="F111" t="s">
        <v>21</v>
      </c>
      <c r="G111" t="s">
        <v>13</v>
      </c>
    </row>
    <row r="112" spans="1:8" x14ac:dyDescent="0.3">
      <c r="A112" s="1">
        <v>49004</v>
      </c>
      <c r="B112" t="s">
        <v>15</v>
      </c>
      <c r="C112" t="s">
        <v>16</v>
      </c>
      <c r="D112" t="s">
        <v>17</v>
      </c>
      <c r="E112" t="s">
        <v>18</v>
      </c>
      <c r="F112" t="s">
        <v>19</v>
      </c>
      <c r="G112" t="s">
        <v>20</v>
      </c>
      <c r="H112" t="s">
        <v>14</v>
      </c>
    </row>
    <row r="113" spans="1:7" x14ac:dyDescent="0.3">
      <c r="A113" s="1">
        <v>49035</v>
      </c>
      <c r="B113" t="s">
        <v>15</v>
      </c>
      <c r="E113">
        <v>90</v>
      </c>
      <c r="F113" t="s">
        <v>21</v>
      </c>
      <c r="G113" t="s">
        <v>13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V113"/>
  <sheetViews>
    <sheetView topLeftCell="L1" zoomScale="62" workbookViewId="0">
      <selection activeCell="Y25" sqref="Y25"/>
    </sheetView>
  </sheetViews>
  <sheetFormatPr defaultRowHeight="14.4" x14ac:dyDescent="0.3"/>
  <cols>
    <col min="1" max="1" width="14.77734375" style="3" bestFit="1" customWidth="1"/>
    <col min="2" max="2" width="27.33203125" bestFit="1" customWidth="1"/>
    <col min="3" max="3" width="28.77734375" bestFit="1" customWidth="1"/>
    <col min="4" max="4" width="32.21875" bestFit="1" customWidth="1"/>
    <col min="5" max="5" width="33.6640625" bestFit="1" customWidth="1"/>
    <col min="6" max="6" width="31.44140625" bestFit="1" customWidth="1"/>
    <col min="7" max="7" width="32.21875" bestFit="1" customWidth="1"/>
    <col min="8" max="8" width="26.21875" bestFit="1" customWidth="1"/>
    <col min="9" max="9" width="27.6640625" bestFit="1" customWidth="1"/>
    <col min="10" max="10" width="35.21875" bestFit="1" customWidth="1"/>
    <col min="11" max="11" width="36.6640625" bestFit="1" customWidth="1"/>
    <col min="12" max="12" width="26.6640625" bestFit="1" customWidth="1"/>
    <col min="13" max="13" width="28.109375" bestFit="1" customWidth="1"/>
    <col min="14" max="14" width="27.21875" bestFit="1" customWidth="1"/>
    <col min="15" max="15" width="28.5546875" bestFit="1" customWidth="1"/>
    <col min="16" max="16" width="17.33203125" bestFit="1" customWidth="1"/>
    <col min="17" max="17" width="14.44140625" bestFit="1" customWidth="1"/>
    <col min="18" max="18" width="13.5546875" bestFit="1" customWidth="1"/>
    <col min="19" max="19" width="24.6640625" bestFit="1" customWidth="1"/>
    <col min="20" max="20" width="27.6640625" bestFit="1" customWidth="1"/>
    <col min="21" max="21" width="26.77734375" bestFit="1" customWidth="1"/>
    <col min="22" max="22" width="29.5546875" bestFit="1" customWidth="1"/>
  </cols>
  <sheetData>
    <row r="1" spans="1:22" ht="21" x14ac:dyDescent="0.4">
      <c r="A1" s="4" t="s">
        <v>0</v>
      </c>
      <c r="B1" s="5" t="s">
        <v>41</v>
      </c>
      <c r="C1" s="5" t="s">
        <v>42</v>
      </c>
      <c r="D1" s="5" t="s">
        <v>31</v>
      </c>
      <c r="E1" s="5" t="s">
        <v>32</v>
      </c>
      <c r="F1" s="5" t="s">
        <v>33</v>
      </c>
      <c r="G1" s="5" t="s">
        <v>34</v>
      </c>
      <c r="H1" s="5" t="s">
        <v>30</v>
      </c>
      <c r="I1" s="5" t="s">
        <v>29</v>
      </c>
      <c r="J1" s="5" t="s">
        <v>35</v>
      </c>
      <c r="K1" s="5" t="s">
        <v>36</v>
      </c>
      <c r="L1" s="5" t="s">
        <v>37</v>
      </c>
      <c r="M1" s="5" t="s">
        <v>38</v>
      </c>
      <c r="N1" s="5" t="s">
        <v>39</v>
      </c>
      <c r="O1" s="5" t="s">
        <v>40</v>
      </c>
      <c r="P1" s="5" t="s">
        <v>43</v>
      </c>
      <c r="Q1" s="5" t="s">
        <v>45</v>
      </c>
      <c r="R1" s="5" t="s">
        <v>44</v>
      </c>
      <c r="S1" s="5" t="s">
        <v>46</v>
      </c>
      <c r="T1" s="5" t="s">
        <v>47</v>
      </c>
      <c r="U1" s="5" t="s">
        <v>48</v>
      </c>
      <c r="V1" s="5" t="s">
        <v>49</v>
      </c>
    </row>
    <row r="2" spans="1:22" ht="18" x14ac:dyDescent="0.35">
      <c r="A2" s="11">
        <f>DATE(2026, MONTH(Raw_Data!A2), DAY(Raw_Data!A2))</f>
        <v>46023</v>
      </c>
      <c r="B2" s="6" t="s">
        <v>8</v>
      </c>
      <c r="C2" s="6" t="str">
        <f>IF(LOWER(TRIM(B2))="food","Food",IF(LOWER(TRIM(B2))="travel","Travel",IF(LOWER(TRIM(B2))="entertainment","Entertainment","Other")))</f>
        <v>Food</v>
      </c>
      <c r="D2" s="6" t="s">
        <v>9</v>
      </c>
      <c r="E2" s="6" t="str">
        <f>IF(TRIM(D2)="","Not Specified",
IF(C2="Food",
IF(LOWER(D2)="lunch","Lunch",
IF(LOWER(D2)="dinner","Dinner","Snacks")),
IF(C2="Travel",
IF(LOWER(D2)="bus","Bus","Bus"),
IF(C2="Entertainment",
IF(LOWER(D2)="movie","Movie","Other"),
"Other"))))</f>
        <v>Lunch</v>
      </c>
      <c r="F2" s="6" t="s">
        <v>10</v>
      </c>
      <c r="G2" s="6" t="str">
        <f>IF(TRIM(F2)="","Not Provided",PROPER(TRIM(F2)))</f>
        <v>Canteen</v>
      </c>
      <c r="H2" s="6" t="s">
        <v>11</v>
      </c>
      <c r="I2" s="6">
        <f>IF(H2="","",VALUE(SUBSTITUTE(SUBSTITUTE(SUBSTITUTE(LOWER(H2),"rs",""),"/-",""),"$","")))</f>
        <v>200</v>
      </c>
      <c r="J2" s="6" t="s">
        <v>12</v>
      </c>
      <c r="K2" s="6" t="str">
        <f>IF(TRIM(J2)="","Not Specified",IF(LOWER(J2)="upi","UPI",IF(LOWER(J2)="cash","Cash",IF(LOWER(J2)="card","Card","Other"))))</f>
        <v>UPI</v>
      </c>
      <c r="L2" s="6" t="s">
        <v>13</v>
      </c>
      <c r="M2" s="6" t="str">
        <f>IF(TRIM(L2)="","Not Specified",PROPER(TRIM(L2)))</f>
        <v>Outside</v>
      </c>
      <c r="N2" s="6"/>
      <c r="O2" s="6" t="str">
        <f>IF(TRIM(N2)="","Not Specified",PROPER(TRIM(N2)))</f>
        <v>Not Specified</v>
      </c>
      <c r="P2" s="6" t="str">
        <f>TEXT(Table1[[#This Row],[Date]],"mmmm")</f>
        <v>January</v>
      </c>
      <c r="Q2" s="6">
        <f>YEAR(Table1[[#This Row],[Date]])</f>
        <v>2026</v>
      </c>
      <c r="R2" s="6" t="str">
        <f>TEXT(Table1[[#This Row],[Date]],"dddd")</f>
        <v>Thursday</v>
      </c>
      <c r="S2" s="6" t="str">
        <f>IF(WEEKDAY(Table1[[#This Row],[Date]],2)&gt;5,"Weekend","Weekday")</f>
        <v>Weekday</v>
      </c>
      <c r="T2" s="6" t="str">
        <f>IF(Table1[[#This Row],[Amount_Clean]]&gt;500,"High","Normal")</f>
        <v>Normal</v>
      </c>
      <c r="U2" s="6" t="str">
        <f>IF(LOWER(TRIM(Table1[[#This Row],[PaymentMode_Clean]]))="cash","Cash","Digital")</f>
        <v>Digital</v>
      </c>
      <c r="V2" s="6">
        <f>MONTH(Table1[[#This Row],[Date]])</f>
        <v>1</v>
      </c>
    </row>
    <row r="3" spans="1:22" ht="18" x14ac:dyDescent="0.35">
      <c r="A3" s="11">
        <f>DATE(2026, MONTH(Raw_Data!A3), DAY(Raw_Data!A3))</f>
        <v>46054</v>
      </c>
      <c r="B3" s="6" t="s">
        <v>15</v>
      </c>
      <c r="C3" s="6" t="str">
        <f t="shared" ref="C3:C66" si="0">IF(LOWER(TRIM(B3))="food","Food",IF(LOWER(TRIM(B3))="travel","Travel",IF(LOWER(TRIM(B3))="entertainment","Entertainment","Other")))</f>
        <v>Food</v>
      </c>
      <c r="D3" s="6" t="s">
        <v>16</v>
      </c>
      <c r="E3" s="6" t="str">
        <f t="shared" ref="E3:E66" si="1">IF(TRIM(D3)="","Not Specified",
IF(C3="Food",
IF(LOWER(D3)="lunch","Lunch",
IF(LOWER(D3)="dinner","Dinner","Snacks")),
IF(C3="Travel",
IF(LOWER(D3)="bus","Bus","Bus"),
IF(C3="Entertainment",
IF(LOWER(D3)="movie","Movie","Other"),
"Other"))))</f>
        <v>Dinner</v>
      </c>
      <c r="F3" s="6" t="s">
        <v>17</v>
      </c>
      <c r="G3" s="6" t="str">
        <f t="shared" ref="G3:G66" si="2">IF(TRIM(F3)="","Not Provided",PROPER(TRIM(F3)))</f>
        <v>Zomato</v>
      </c>
      <c r="H3" s="6" t="s">
        <v>18</v>
      </c>
      <c r="I3" s="6">
        <f t="shared" ref="I3:I66" si="3">IF(H3="","",VALUE(SUBSTITUTE(SUBSTITUTE(SUBSTITUTE(LOWER(H3),"rs",""),"/-",""),"$","")))</f>
        <v>280</v>
      </c>
      <c r="J3" s="6" t="s">
        <v>19</v>
      </c>
      <c r="K3" s="6" t="str">
        <f t="shared" ref="K3:K66" si="4">IF(TRIM(J3)="","Not Specified",IF(LOWER(J3)="upi","UPI",IF(LOWER(J3)="cash","Cash",IF(LOWER(J3)="card","Card","Other"))))</f>
        <v>UPI</v>
      </c>
      <c r="L3" s="6" t="s">
        <v>20</v>
      </c>
      <c r="M3" s="6" t="str">
        <f t="shared" ref="M3:M66" si="5">IF(TRIM(L3)="","Not Specified",PROPER(TRIM(L3)))</f>
        <v>Home</v>
      </c>
      <c r="N3" s="6" t="s">
        <v>14</v>
      </c>
      <c r="O3" s="6" t="str">
        <f t="shared" ref="O3:O66" si="6">IF(TRIM(N3)="","Not Specified",PROPER(TRIM(N3)))</f>
        <v>Late</v>
      </c>
      <c r="P3" s="6" t="str">
        <f>TEXT(Table1[[#This Row],[Date]],"mmmm")</f>
        <v>February</v>
      </c>
      <c r="Q3" s="6">
        <f>YEAR(Table1[[#This Row],[Date]])</f>
        <v>2026</v>
      </c>
      <c r="R3" s="6" t="str">
        <f>TEXT(Table1[[#This Row],[Date]],"dddd")</f>
        <v>Sunday</v>
      </c>
      <c r="S3" s="6" t="str">
        <f>IF(WEEKDAY(Table1[[#This Row],[Date]],2)&gt;5,"Weekend","Weekday")</f>
        <v>Weekend</v>
      </c>
      <c r="T3" s="6" t="str">
        <f>IF(Table1[[#This Row],[Amount_Clean]]&gt;500,"High","Normal")</f>
        <v>Normal</v>
      </c>
      <c r="U3" s="6" t="str">
        <f>IF(LOWER(TRIM(Table1[[#This Row],[PaymentMode_Clean]]))="cash","Cash","Digital")</f>
        <v>Digital</v>
      </c>
      <c r="V3" s="6">
        <f>MONTH(Table1[[#This Row],[Date]])</f>
        <v>2</v>
      </c>
    </row>
    <row r="4" spans="1:22" ht="18" x14ac:dyDescent="0.35">
      <c r="A4" s="11">
        <f>DATE(2026, MONTH(Raw_Data!A4), DAY(Raw_Data!A4))</f>
        <v>46082</v>
      </c>
      <c r="B4" s="6" t="s">
        <v>15</v>
      </c>
      <c r="C4" s="6" t="str">
        <f t="shared" si="0"/>
        <v>Food</v>
      </c>
      <c r="D4" s="6"/>
      <c r="E4" s="6" t="str">
        <f t="shared" si="1"/>
        <v>Not Specified</v>
      </c>
      <c r="F4" s="6"/>
      <c r="G4" s="6" t="str">
        <f t="shared" si="2"/>
        <v>Not Provided</v>
      </c>
      <c r="H4" s="6">
        <v>90</v>
      </c>
      <c r="I4" s="6">
        <f t="shared" si="3"/>
        <v>90</v>
      </c>
      <c r="J4" s="6" t="s">
        <v>21</v>
      </c>
      <c r="K4" s="6" t="str">
        <f t="shared" si="4"/>
        <v>Cash</v>
      </c>
      <c r="L4" s="6" t="s">
        <v>13</v>
      </c>
      <c r="M4" s="6" t="str">
        <f t="shared" si="5"/>
        <v>Outside</v>
      </c>
      <c r="N4" s="6"/>
      <c r="O4" s="6" t="str">
        <f t="shared" si="6"/>
        <v>Not Specified</v>
      </c>
      <c r="P4" s="6" t="str">
        <f>TEXT(Table1[[#This Row],[Date]],"mmmm")</f>
        <v>March</v>
      </c>
      <c r="Q4" s="6">
        <f>YEAR(Table1[[#This Row],[Date]])</f>
        <v>2026</v>
      </c>
      <c r="R4" s="6" t="str">
        <f>TEXT(Table1[[#This Row],[Date]],"dddd")</f>
        <v>Sunday</v>
      </c>
      <c r="S4" s="6" t="str">
        <f>IF(WEEKDAY(Table1[[#This Row],[Date]],2)&gt;5,"Weekend","Weekday")</f>
        <v>Weekend</v>
      </c>
      <c r="T4" s="6" t="str">
        <f>IF(Table1[[#This Row],[Amount_Clean]]&gt;500,"High","Normal")</f>
        <v>Normal</v>
      </c>
      <c r="U4" s="6" t="str">
        <f>IF(LOWER(TRIM(Table1[[#This Row],[PaymentMode_Clean]]))="cash","Cash","Digital")</f>
        <v>Cash</v>
      </c>
      <c r="V4" s="6">
        <f>MONTH(Table1[[#This Row],[Date]])</f>
        <v>3</v>
      </c>
    </row>
    <row r="5" spans="1:22" ht="18" x14ac:dyDescent="0.35">
      <c r="A5" s="11">
        <f>DATE(2026, MONTH(Raw_Data!A5), DAY(Raw_Data!A5))</f>
        <v>46113</v>
      </c>
      <c r="B5" s="6" t="s">
        <v>28</v>
      </c>
      <c r="C5" s="6" t="str">
        <f t="shared" si="0"/>
        <v>Travel</v>
      </c>
      <c r="D5" s="6" t="s">
        <v>25</v>
      </c>
      <c r="E5" s="6" t="str">
        <f t="shared" si="1"/>
        <v>Bus</v>
      </c>
      <c r="F5" s="6" t="s">
        <v>24</v>
      </c>
      <c r="G5" s="6" t="str">
        <f t="shared" si="2"/>
        <v>College Bus</v>
      </c>
      <c r="H5" s="6">
        <v>40</v>
      </c>
      <c r="I5" s="6">
        <f t="shared" si="3"/>
        <v>40</v>
      </c>
      <c r="J5" s="6" t="s">
        <v>21</v>
      </c>
      <c r="K5" s="6" t="str">
        <f t="shared" si="4"/>
        <v>Cash</v>
      </c>
      <c r="L5" s="6" t="s">
        <v>13</v>
      </c>
      <c r="M5" s="6" t="str">
        <f t="shared" si="5"/>
        <v>Outside</v>
      </c>
      <c r="N5" s="6"/>
      <c r="O5" s="6" t="str">
        <f t="shared" si="6"/>
        <v>Not Specified</v>
      </c>
      <c r="P5" s="6" t="str">
        <f>TEXT(Table1[[#This Row],[Date]],"mmmm")</f>
        <v>April</v>
      </c>
      <c r="Q5" s="6">
        <f>YEAR(Table1[[#This Row],[Date]])</f>
        <v>2026</v>
      </c>
      <c r="R5" s="6" t="str">
        <f>TEXT(Table1[[#This Row],[Date]],"dddd")</f>
        <v>Wednesday</v>
      </c>
      <c r="S5" s="6" t="str">
        <f>IF(WEEKDAY(Table1[[#This Row],[Date]],2)&gt;5,"Weekend","Weekday")</f>
        <v>Weekday</v>
      </c>
      <c r="T5" s="6" t="str">
        <f>IF(Table1[[#This Row],[Amount_Clean]]&gt;500,"High","Normal")</f>
        <v>Normal</v>
      </c>
      <c r="U5" s="6" t="str">
        <f>IF(LOWER(TRIM(Table1[[#This Row],[PaymentMode_Clean]]))="cash","Cash","Digital")</f>
        <v>Cash</v>
      </c>
      <c r="V5" s="6">
        <f>MONTH(Table1[[#This Row],[Date]])</f>
        <v>4</v>
      </c>
    </row>
    <row r="6" spans="1:22" ht="18" x14ac:dyDescent="0.35">
      <c r="A6" s="11">
        <f>DATE(2026, MONTH(Raw_Data!A6), DAY(Raw_Data!A6))</f>
        <v>46143</v>
      </c>
      <c r="B6" s="6" t="s">
        <v>27</v>
      </c>
      <c r="C6" s="6" t="str">
        <f t="shared" si="0"/>
        <v>Entertainment</v>
      </c>
      <c r="D6" s="6" t="s">
        <v>26</v>
      </c>
      <c r="E6" s="6" t="str">
        <f t="shared" si="1"/>
        <v>Movie</v>
      </c>
      <c r="F6" s="6"/>
      <c r="G6" s="6" t="str">
        <f t="shared" si="2"/>
        <v>Not Provided</v>
      </c>
      <c r="H6" s="7">
        <v>350</v>
      </c>
      <c r="I6" s="6">
        <f t="shared" si="3"/>
        <v>350</v>
      </c>
      <c r="J6" s="6" t="s">
        <v>23</v>
      </c>
      <c r="K6" s="6" t="str">
        <f t="shared" si="4"/>
        <v>Card</v>
      </c>
      <c r="L6" s="6" t="s">
        <v>22</v>
      </c>
      <c r="M6" s="6" t="str">
        <f t="shared" si="5"/>
        <v>Mall</v>
      </c>
      <c r="N6" s="6"/>
      <c r="O6" s="6" t="str">
        <f t="shared" si="6"/>
        <v>Not Specified</v>
      </c>
      <c r="P6" s="6" t="str">
        <f>TEXT(Table1[[#This Row],[Date]],"mmmm")</f>
        <v>May</v>
      </c>
      <c r="Q6" s="6">
        <f>YEAR(Table1[[#This Row],[Date]])</f>
        <v>2026</v>
      </c>
      <c r="R6" s="6" t="str">
        <f>TEXT(Table1[[#This Row],[Date]],"dddd")</f>
        <v>Friday</v>
      </c>
      <c r="S6" s="6" t="str">
        <f>IF(WEEKDAY(Table1[[#This Row],[Date]],2)&gt;5,"Weekend","Weekday")</f>
        <v>Weekday</v>
      </c>
      <c r="T6" s="6" t="str">
        <f>IF(Table1[[#This Row],[Amount_Clean]]&gt;500,"High","Normal")</f>
        <v>Normal</v>
      </c>
      <c r="U6" s="6" t="str">
        <f>IF(LOWER(TRIM(Table1[[#This Row],[PaymentMode_Clean]]))="cash","Cash","Digital")</f>
        <v>Digital</v>
      </c>
      <c r="V6" s="6">
        <f>MONTH(Table1[[#This Row],[Date]])</f>
        <v>5</v>
      </c>
    </row>
    <row r="7" spans="1:22" ht="18" x14ac:dyDescent="0.35">
      <c r="A7" s="11">
        <f>DATE(2026, MONTH(Raw_Data!A7), DAY(Raw_Data!A7))</f>
        <v>46174</v>
      </c>
      <c r="B7" s="6" t="s">
        <v>15</v>
      </c>
      <c r="C7" s="6" t="str">
        <f t="shared" si="0"/>
        <v>Food</v>
      </c>
      <c r="D7" s="6"/>
      <c r="E7" s="6" t="str">
        <f t="shared" si="1"/>
        <v>Not Specified</v>
      </c>
      <c r="F7" s="6"/>
      <c r="G7" s="6" t="str">
        <f t="shared" si="2"/>
        <v>Not Provided</v>
      </c>
      <c r="H7" s="6">
        <v>90</v>
      </c>
      <c r="I7" s="6">
        <f t="shared" si="3"/>
        <v>90</v>
      </c>
      <c r="J7" s="6" t="s">
        <v>21</v>
      </c>
      <c r="K7" s="6" t="str">
        <f t="shared" si="4"/>
        <v>Cash</v>
      </c>
      <c r="L7" s="6" t="s">
        <v>13</v>
      </c>
      <c r="M7" s="6" t="str">
        <f t="shared" si="5"/>
        <v>Outside</v>
      </c>
      <c r="N7" s="6"/>
      <c r="O7" s="6" t="str">
        <f t="shared" si="6"/>
        <v>Not Specified</v>
      </c>
      <c r="P7" s="6" t="str">
        <f>TEXT(Table1[[#This Row],[Date]],"mmmm")</f>
        <v>June</v>
      </c>
      <c r="Q7" s="6">
        <f>YEAR(Table1[[#This Row],[Date]])</f>
        <v>2026</v>
      </c>
      <c r="R7" s="6" t="str">
        <f>TEXT(Table1[[#This Row],[Date]],"dddd")</f>
        <v>Monday</v>
      </c>
      <c r="S7" s="6" t="str">
        <f>IF(WEEKDAY(Table1[[#This Row],[Date]],2)&gt;5,"Weekend","Weekday")</f>
        <v>Weekday</v>
      </c>
      <c r="T7" s="6" t="str">
        <f>IF(Table1[[#This Row],[Amount_Clean]]&gt;500,"High","Normal")</f>
        <v>Normal</v>
      </c>
      <c r="U7" s="6" t="str">
        <f>IF(LOWER(TRIM(Table1[[#This Row],[PaymentMode_Clean]]))="cash","Cash","Digital")</f>
        <v>Cash</v>
      </c>
      <c r="V7" s="6">
        <f>MONTH(Table1[[#This Row],[Date]])</f>
        <v>6</v>
      </c>
    </row>
    <row r="8" spans="1:22" ht="18" x14ac:dyDescent="0.35">
      <c r="A8" s="11">
        <f>DATE(2026, MONTH(Raw_Data!A8), DAY(Raw_Data!A8))</f>
        <v>46204</v>
      </c>
      <c r="B8" s="6" t="s">
        <v>28</v>
      </c>
      <c r="C8" s="6" t="str">
        <f t="shared" si="0"/>
        <v>Travel</v>
      </c>
      <c r="D8" s="6" t="s">
        <v>25</v>
      </c>
      <c r="E8" s="6" t="str">
        <f t="shared" si="1"/>
        <v>Bus</v>
      </c>
      <c r="F8" s="6" t="s">
        <v>24</v>
      </c>
      <c r="G8" s="6" t="str">
        <f t="shared" si="2"/>
        <v>College Bus</v>
      </c>
      <c r="H8" s="6">
        <v>40</v>
      </c>
      <c r="I8" s="6">
        <f t="shared" si="3"/>
        <v>40</v>
      </c>
      <c r="J8" s="6" t="s">
        <v>21</v>
      </c>
      <c r="K8" s="6" t="str">
        <f t="shared" si="4"/>
        <v>Cash</v>
      </c>
      <c r="L8" s="6" t="s">
        <v>13</v>
      </c>
      <c r="M8" s="6" t="str">
        <f t="shared" si="5"/>
        <v>Outside</v>
      </c>
      <c r="N8" s="6"/>
      <c r="O8" s="6" t="str">
        <f t="shared" si="6"/>
        <v>Not Specified</v>
      </c>
      <c r="P8" s="6" t="str">
        <f>TEXT(Table1[[#This Row],[Date]],"mmmm")</f>
        <v>July</v>
      </c>
      <c r="Q8" s="6">
        <f>YEAR(Table1[[#This Row],[Date]])</f>
        <v>2026</v>
      </c>
      <c r="R8" s="6" t="str">
        <f>TEXT(Table1[[#This Row],[Date]],"dddd")</f>
        <v>Wednesday</v>
      </c>
      <c r="S8" s="6" t="str">
        <f>IF(WEEKDAY(Table1[[#This Row],[Date]],2)&gt;5,"Weekend","Weekday")</f>
        <v>Weekday</v>
      </c>
      <c r="T8" s="6" t="str">
        <f>IF(Table1[[#This Row],[Amount_Clean]]&gt;500,"High","Normal")</f>
        <v>Normal</v>
      </c>
      <c r="U8" s="6" t="str">
        <f>IF(LOWER(TRIM(Table1[[#This Row],[PaymentMode_Clean]]))="cash","Cash","Digital")</f>
        <v>Cash</v>
      </c>
      <c r="V8" s="6">
        <f>MONTH(Table1[[#This Row],[Date]])</f>
        <v>7</v>
      </c>
    </row>
    <row r="9" spans="1:22" ht="18" x14ac:dyDescent="0.35">
      <c r="A9" s="11">
        <f>DATE(2026, MONTH(Raw_Data!A9), DAY(Raw_Data!A9))</f>
        <v>46235</v>
      </c>
      <c r="B9" s="6" t="s">
        <v>27</v>
      </c>
      <c r="C9" s="6" t="str">
        <f t="shared" si="0"/>
        <v>Entertainment</v>
      </c>
      <c r="D9" s="6" t="s">
        <v>26</v>
      </c>
      <c r="E9" s="6" t="str">
        <f t="shared" si="1"/>
        <v>Movie</v>
      </c>
      <c r="F9" s="6"/>
      <c r="G9" s="6" t="str">
        <f t="shared" si="2"/>
        <v>Not Provided</v>
      </c>
      <c r="H9" s="7">
        <v>350</v>
      </c>
      <c r="I9" s="6">
        <f t="shared" si="3"/>
        <v>350</v>
      </c>
      <c r="J9" s="6" t="s">
        <v>23</v>
      </c>
      <c r="K9" s="6" t="str">
        <f t="shared" si="4"/>
        <v>Card</v>
      </c>
      <c r="L9" s="6" t="s">
        <v>22</v>
      </c>
      <c r="M9" s="6" t="str">
        <f t="shared" si="5"/>
        <v>Mall</v>
      </c>
      <c r="N9" s="6"/>
      <c r="O9" s="6" t="str">
        <f t="shared" si="6"/>
        <v>Not Specified</v>
      </c>
      <c r="P9" s="6" t="str">
        <f>TEXT(Table1[[#This Row],[Date]],"mmmm")</f>
        <v>August</v>
      </c>
      <c r="Q9" s="6">
        <f>YEAR(Table1[[#This Row],[Date]])</f>
        <v>2026</v>
      </c>
      <c r="R9" s="6" t="str">
        <f>TEXT(Table1[[#This Row],[Date]],"dddd")</f>
        <v>Saturday</v>
      </c>
      <c r="S9" s="6" t="str">
        <f>IF(WEEKDAY(Table1[[#This Row],[Date]],2)&gt;5,"Weekend","Weekday")</f>
        <v>Weekend</v>
      </c>
      <c r="T9" s="6" t="str">
        <f>IF(Table1[[#This Row],[Amount_Clean]]&gt;500,"High","Normal")</f>
        <v>Normal</v>
      </c>
      <c r="U9" s="6" t="str">
        <f>IF(LOWER(TRIM(Table1[[#This Row],[PaymentMode_Clean]]))="cash","Cash","Digital")</f>
        <v>Digital</v>
      </c>
      <c r="V9" s="6">
        <f>MONTH(Table1[[#This Row],[Date]])</f>
        <v>8</v>
      </c>
    </row>
    <row r="10" spans="1:22" ht="18" x14ac:dyDescent="0.35">
      <c r="A10" s="11">
        <f>DATE(2026, MONTH(Raw_Data!A10), DAY(Raw_Data!A10))</f>
        <v>46266</v>
      </c>
      <c r="B10" s="6" t="s">
        <v>8</v>
      </c>
      <c r="C10" s="6" t="str">
        <f t="shared" si="0"/>
        <v>Food</v>
      </c>
      <c r="D10" s="6" t="s">
        <v>9</v>
      </c>
      <c r="E10" s="6" t="str">
        <f t="shared" si="1"/>
        <v>Lunch</v>
      </c>
      <c r="F10" s="6" t="s">
        <v>10</v>
      </c>
      <c r="G10" s="6" t="str">
        <f t="shared" si="2"/>
        <v>Canteen</v>
      </c>
      <c r="H10" s="6" t="s">
        <v>11</v>
      </c>
      <c r="I10" s="6">
        <f t="shared" si="3"/>
        <v>200</v>
      </c>
      <c r="J10" s="6" t="s">
        <v>12</v>
      </c>
      <c r="K10" s="6" t="str">
        <f t="shared" si="4"/>
        <v>UPI</v>
      </c>
      <c r="L10" s="6" t="s">
        <v>13</v>
      </c>
      <c r="M10" s="6" t="str">
        <f t="shared" si="5"/>
        <v>Outside</v>
      </c>
      <c r="N10" s="6"/>
      <c r="O10" s="6" t="str">
        <f t="shared" si="6"/>
        <v>Not Specified</v>
      </c>
      <c r="P10" s="6" t="str">
        <f>TEXT(Table1[[#This Row],[Date]],"mmmm")</f>
        <v>September</v>
      </c>
      <c r="Q10" s="6">
        <f>YEAR(Table1[[#This Row],[Date]])</f>
        <v>2026</v>
      </c>
      <c r="R10" s="6" t="str">
        <f>TEXT(Table1[[#This Row],[Date]],"dddd")</f>
        <v>Tuesday</v>
      </c>
      <c r="S10" s="6" t="str">
        <f>IF(WEEKDAY(Table1[[#This Row],[Date]],2)&gt;5,"Weekend","Weekday")</f>
        <v>Weekday</v>
      </c>
      <c r="T10" s="6" t="str">
        <f>IF(Table1[[#This Row],[Amount_Clean]]&gt;500,"High","Normal")</f>
        <v>Normal</v>
      </c>
      <c r="U10" s="6" t="str">
        <f>IF(LOWER(TRIM(Table1[[#This Row],[PaymentMode_Clean]]))="cash","Cash","Digital")</f>
        <v>Digital</v>
      </c>
      <c r="V10" s="6">
        <f>MONTH(Table1[[#This Row],[Date]])</f>
        <v>9</v>
      </c>
    </row>
    <row r="11" spans="1:22" ht="18" x14ac:dyDescent="0.35">
      <c r="A11" s="11">
        <f>DATE(2026, MONTH(Raw_Data!A11), DAY(Raw_Data!A11))</f>
        <v>46296</v>
      </c>
      <c r="B11" s="6" t="s">
        <v>15</v>
      </c>
      <c r="C11" s="6" t="str">
        <f t="shared" si="0"/>
        <v>Food</v>
      </c>
      <c r="D11" s="6" t="s">
        <v>16</v>
      </c>
      <c r="E11" s="6" t="str">
        <f t="shared" si="1"/>
        <v>Dinner</v>
      </c>
      <c r="F11" s="6" t="s">
        <v>17</v>
      </c>
      <c r="G11" s="6" t="str">
        <f t="shared" si="2"/>
        <v>Zomato</v>
      </c>
      <c r="H11" s="6" t="s">
        <v>18</v>
      </c>
      <c r="I11" s="6">
        <f t="shared" si="3"/>
        <v>280</v>
      </c>
      <c r="J11" s="6" t="s">
        <v>19</v>
      </c>
      <c r="K11" s="6" t="str">
        <f t="shared" si="4"/>
        <v>UPI</v>
      </c>
      <c r="L11" s="6" t="s">
        <v>20</v>
      </c>
      <c r="M11" s="6" t="str">
        <f t="shared" si="5"/>
        <v>Home</v>
      </c>
      <c r="N11" s="6" t="s">
        <v>14</v>
      </c>
      <c r="O11" s="6" t="str">
        <f t="shared" si="6"/>
        <v>Late</v>
      </c>
      <c r="P11" s="6" t="str">
        <f>TEXT(Table1[[#This Row],[Date]],"mmmm")</f>
        <v>October</v>
      </c>
      <c r="Q11" s="6">
        <f>YEAR(Table1[[#This Row],[Date]])</f>
        <v>2026</v>
      </c>
      <c r="R11" s="6" t="str">
        <f>TEXT(Table1[[#This Row],[Date]],"dddd")</f>
        <v>Thursday</v>
      </c>
      <c r="S11" s="6" t="str">
        <f>IF(WEEKDAY(Table1[[#This Row],[Date]],2)&gt;5,"Weekend","Weekday")</f>
        <v>Weekday</v>
      </c>
      <c r="T11" s="6" t="str">
        <f>IF(Table1[[#This Row],[Amount_Clean]]&gt;500,"High","Normal")</f>
        <v>Normal</v>
      </c>
      <c r="U11" s="6" t="str">
        <f>IF(LOWER(TRIM(Table1[[#This Row],[PaymentMode_Clean]]))="cash","Cash","Digital")</f>
        <v>Digital</v>
      </c>
      <c r="V11" s="6">
        <f>MONTH(Table1[[#This Row],[Date]])</f>
        <v>10</v>
      </c>
    </row>
    <row r="12" spans="1:22" ht="18" x14ac:dyDescent="0.35">
      <c r="A12" s="11">
        <f>DATE(2026, MONTH(Raw_Data!A12), DAY(Raw_Data!A12))</f>
        <v>46327</v>
      </c>
      <c r="B12" s="6" t="s">
        <v>15</v>
      </c>
      <c r="C12" s="6" t="str">
        <f t="shared" si="0"/>
        <v>Food</v>
      </c>
      <c r="D12" s="6"/>
      <c r="E12" s="6" t="str">
        <f t="shared" si="1"/>
        <v>Not Specified</v>
      </c>
      <c r="F12" s="6"/>
      <c r="G12" s="6" t="str">
        <f t="shared" si="2"/>
        <v>Not Provided</v>
      </c>
      <c r="H12" s="6">
        <v>90</v>
      </c>
      <c r="I12" s="6">
        <f t="shared" si="3"/>
        <v>90</v>
      </c>
      <c r="J12" s="6" t="s">
        <v>21</v>
      </c>
      <c r="K12" s="6" t="str">
        <f t="shared" si="4"/>
        <v>Cash</v>
      </c>
      <c r="L12" s="6" t="s">
        <v>13</v>
      </c>
      <c r="M12" s="6" t="str">
        <f t="shared" si="5"/>
        <v>Outside</v>
      </c>
      <c r="N12" s="6"/>
      <c r="O12" s="6" t="str">
        <f t="shared" si="6"/>
        <v>Not Specified</v>
      </c>
      <c r="P12" s="6" t="str">
        <f>TEXT(Table1[[#This Row],[Date]],"mmmm")</f>
        <v>November</v>
      </c>
      <c r="Q12" s="6">
        <f>YEAR(Table1[[#This Row],[Date]])</f>
        <v>2026</v>
      </c>
      <c r="R12" s="6" t="str">
        <f>TEXT(Table1[[#This Row],[Date]],"dddd")</f>
        <v>Sunday</v>
      </c>
      <c r="S12" s="6" t="str">
        <f>IF(WEEKDAY(Table1[[#This Row],[Date]],2)&gt;5,"Weekend","Weekday")</f>
        <v>Weekend</v>
      </c>
      <c r="T12" s="6" t="str">
        <f>IF(Table1[[#This Row],[Amount_Clean]]&gt;500,"High","Normal")</f>
        <v>Normal</v>
      </c>
      <c r="U12" s="6" t="str">
        <f>IF(LOWER(TRIM(Table1[[#This Row],[PaymentMode_Clean]]))="cash","Cash","Digital")</f>
        <v>Cash</v>
      </c>
      <c r="V12" s="6">
        <f>MONTH(Table1[[#This Row],[Date]])</f>
        <v>11</v>
      </c>
    </row>
    <row r="13" spans="1:22" ht="18" x14ac:dyDescent="0.35">
      <c r="A13" s="11">
        <f>DATE(2026, MONTH(Raw_Data!A13), DAY(Raw_Data!A13))</f>
        <v>46357</v>
      </c>
      <c r="B13" s="6" t="s">
        <v>15</v>
      </c>
      <c r="C13" s="6" t="str">
        <f t="shared" si="0"/>
        <v>Food</v>
      </c>
      <c r="D13" s="6" t="s">
        <v>16</v>
      </c>
      <c r="E13" s="6" t="str">
        <f t="shared" si="1"/>
        <v>Dinner</v>
      </c>
      <c r="F13" s="6" t="s">
        <v>17</v>
      </c>
      <c r="G13" s="6" t="str">
        <f t="shared" si="2"/>
        <v>Zomato</v>
      </c>
      <c r="H13" s="6" t="s">
        <v>18</v>
      </c>
      <c r="I13" s="6">
        <f t="shared" si="3"/>
        <v>280</v>
      </c>
      <c r="J13" s="6" t="s">
        <v>19</v>
      </c>
      <c r="K13" s="6" t="str">
        <f t="shared" si="4"/>
        <v>UPI</v>
      </c>
      <c r="L13" s="6" t="s">
        <v>20</v>
      </c>
      <c r="M13" s="6" t="str">
        <f t="shared" si="5"/>
        <v>Home</v>
      </c>
      <c r="N13" s="6" t="s">
        <v>14</v>
      </c>
      <c r="O13" s="6" t="str">
        <f t="shared" si="6"/>
        <v>Late</v>
      </c>
      <c r="P13" s="6" t="str">
        <f>TEXT(Table1[[#This Row],[Date]],"mmmm")</f>
        <v>December</v>
      </c>
      <c r="Q13" s="6">
        <f>YEAR(Table1[[#This Row],[Date]])</f>
        <v>2026</v>
      </c>
      <c r="R13" s="6" t="str">
        <f>TEXT(Table1[[#This Row],[Date]],"dddd")</f>
        <v>Tuesday</v>
      </c>
      <c r="S13" s="6" t="str">
        <f>IF(WEEKDAY(Table1[[#This Row],[Date]],2)&gt;5,"Weekend","Weekday")</f>
        <v>Weekday</v>
      </c>
      <c r="T13" s="6" t="str">
        <f>IF(Table1[[#This Row],[Amount_Clean]]&gt;500,"High","Normal")</f>
        <v>Normal</v>
      </c>
      <c r="U13" s="6" t="str">
        <f>IF(LOWER(TRIM(Table1[[#This Row],[PaymentMode_Clean]]))="cash","Cash","Digital")</f>
        <v>Digital</v>
      </c>
      <c r="V13" s="6">
        <f>MONTH(Table1[[#This Row],[Date]])</f>
        <v>12</v>
      </c>
    </row>
    <row r="14" spans="1:22" ht="18" x14ac:dyDescent="0.35">
      <c r="A14" s="11">
        <f>DATE(2026, MONTH(Raw_Data!A14), DAY(Raw_Data!A14))</f>
        <v>46023</v>
      </c>
      <c r="B14" s="6" t="s">
        <v>15</v>
      </c>
      <c r="C14" s="6" t="str">
        <f t="shared" si="0"/>
        <v>Food</v>
      </c>
      <c r="D14" s="6"/>
      <c r="E14" s="6" t="str">
        <f t="shared" si="1"/>
        <v>Not Specified</v>
      </c>
      <c r="F14" s="6"/>
      <c r="G14" s="6" t="str">
        <f t="shared" si="2"/>
        <v>Not Provided</v>
      </c>
      <c r="H14" s="6">
        <v>90</v>
      </c>
      <c r="I14" s="6">
        <f t="shared" si="3"/>
        <v>90</v>
      </c>
      <c r="J14" s="6" t="s">
        <v>21</v>
      </c>
      <c r="K14" s="6" t="str">
        <f t="shared" si="4"/>
        <v>Cash</v>
      </c>
      <c r="L14" s="6" t="s">
        <v>13</v>
      </c>
      <c r="M14" s="6" t="str">
        <f t="shared" si="5"/>
        <v>Outside</v>
      </c>
      <c r="N14" s="6"/>
      <c r="O14" s="6" t="str">
        <f t="shared" si="6"/>
        <v>Not Specified</v>
      </c>
      <c r="P14" s="6" t="str">
        <f>TEXT(Table1[[#This Row],[Date]],"mmmm")</f>
        <v>January</v>
      </c>
      <c r="Q14" s="6">
        <f>YEAR(Table1[[#This Row],[Date]])</f>
        <v>2026</v>
      </c>
      <c r="R14" s="6" t="str">
        <f>TEXT(Table1[[#This Row],[Date]],"dddd")</f>
        <v>Thursday</v>
      </c>
      <c r="S14" s="6" t="str">
        <f>IF(WEEKDAY(Table1[[#This Row],[Date]],2)&gt;5,"Weekend","Weekday")</f>
        <v>Weekday</v>
      </c>
      <c r="T14" s="6" t="str">
        <f>IF(Table1[[#This Row],[Amount_Clean]]&gt;500,"High","Normal")</f>
        <v>Normal</v>
      </c>
      <c r="U14" s="6" t="str">
        <f>IF(LOWER(TRIM(Table1[[#This Row],[PaymentMode_Clean]]))="cash","Cash","Digital")</f>
        <v>Cash</v>
      </c>
      <c r="V14" s="6">
        <f>MONTH(Table1[[#This Row],[Date]])</f>
        <v>1</v>
      </c>
    </row>
    <row r="15" spans="1:22" ht="18" x14ac:dyDescent="0.35">
      <c r="A15" s="11">
        <f>DATE(2026, MONTH(Raw_Data!A15), DAY(Raw_Data!A15))</f>
        <v>46054</v>
      </c>
      <c r="B15" s="6" t="s">
        <v>28</v>
      </c>
      <c r="C15" s="6" t="str">
        <f t="shared" si="0"/>
        <v>Travel</v>
      </c>
      <c r="D15" s="6" t="s">
        <v>25</v>
      </c>
      <c r="E15" s="6" t="str">
        <f t="shared" si="1"/>
        <v>Bus</v>
      </c>
      <c r="F15" s="6" t="s">
        <v>24</v>
      </c>
      <c r="G15" s="6" t="str">
        <f t="shared" si="2"/>
        <v>College Bus</v>
      </c>
      <c r="H15" s="6">
        <v>40</v>
      </c>
      <c r="I15" s="6">
        <f t="shared" si="3"/>
        <v>40</v>
      </c>
      <c r="J15" s="6" t="s">
        <v>21</v>
      </c>
      <c r="K15" s="6" t="str">
        <f t="shared" si="4"/>
        <v>Cash</v>
      </c>
      <c r="L15" s="6" t="s">
        <v>13</v>
      </c>
      <c r="M15" s="6" t="str">
        <f t="shared" si="5"/>
        <v>Outside</v>
      </c>
      <c r="N15" s="6"/>
      <c r="O15" s="6" t="str">
        <f t="shared" si="6"/>
        <v>Not Specified</v>
      </c>
      <c r="P15" s="6" t="str">
        <f>TEXT(Table1[[#This Row],[Date]],"mmmm")</f>
        <v>February</v>
      </c>
      <c r="Q15" s="6">
        <f>YEAR(Table1[[#This Row],[Date]])</f>
        <v>2026</v>
      </c>
      <c r="R15" s="6" t="str">
        <f>TEXT(Table1[[#This Row],[Date]],"dddd")</f>
        <v>Sunday</v>
      </c>
      <c r="S15" s="6" t="str">
        <f>IF(WEEKDAY(Table1[[#This Row],[Date]],2)&gt;5,"Weekend","Weekday")</f>
        <v>Weekend</v>
      </c>
      <c r="T15" s="6" t="str">
        <f>IF(Table1[[#This Row],[Amount_Clean]]&gt;500,"High","Normal")</f>
        <v>Normal</v>
      </c>
      <c r="U15" s="6" t="str">
        <f>IF(LOWER(TRIM(Table1[[#This Row],[PaymentMode_Clean]]))="cash","Cash","Digital")</f>
        <v>Cash</v>
      </c>
      <c r="V15" s="6">
        <f>MONTH(Table1[[#This Row],[Date]])</f>
        <v>2</v>
      </c>
    </row>
    <row r="16" spans="1:22" ht="18" x14ac:dyDescent="0.35">
      <c r="A16" s="11">
        <f>DATE(2026, MONTH(Raw_Data!A16), DAY(Raw_Data!A16))</f>
        <v>46082</v>
      </c>
      <c r="B16" s="6" t="s">
        <v>27</v>
      </c>
      <c r="C16" s="6" t="str">
        <f t="shared" si="0"/>
        <v>Entertainment</v>
      </c>
      <c r="D16" s="6" t="s">
        <v>26</v>
      </c>
      <c r="E16" s="6" t="str">
        <f t="shared" si="1"/>
        <v>Movie</v>
      </c>
      <c r="F16" s="6"/>
      <c r="G16" s="6" t="str">
        <f t="shared" si="2"/>
        <v>Not Provided</v>
      </c>
      <c r="H16" s="7">
        <v>350</v>
      </c>
      <c r="I16" s="6">
        <f t="shared" si="3"/>
        <v>350</v>
      </c>
      <c r="J16" s="6" t="s">
        <v>23</v>
      </c>
      <c r="K16" s="6" t="str">
        <f t="shared" si="4"/>
        <v>Card</v>
      </c>
      <c r="L16" s="6" t="s">
        <v>22</v>
      </c>
      <c r="M16" s="6" t="str">
        <f t="shared" si="5"/>
        <v>Mall</v>
      </c>
      <c r="N16" s="6"/>
      <c r="O16" s="6" t="str">
        <f t="shared" si="6"/>
        <v>Not Specified</v>
      </c>
      <c r="P16" s="6" t="str">
        <f>TEXT(Table1[[#This Row],[Date]],"mmmm")</f>
        <v>March</v>
      </c>
      <c r="Q16" s="6">
        <f>YEAR(Table1[[#This Row],[Date]])</f>
        <v>2026</v>
      </c>
      <c r="R16" s="6" t="str">
        <f>TEXT(Table1[[#This Row],[Date]],"dddd")</f>
        <v>Sunday</v>
      </c>
      <c r="S16" s="6" t="str">
        <f>IF(WEEKDAY(Table1[[#This Row],[Date]],2)&gt;5,"Weekend","Weekday")</f>
        <v>Weekend</v>
      </c>
      <c r="T16" s="6" t="str">
        <f>IF(Table1[[#This Row],[Amount_Clean]]&gt;500,"High","Normal")</f>
        <v>Normal</v>
      </c>
      <c r="U16" s="6" t="str">
        <f>IF(LOWER(TRIM(Table1[[#This Row],[PaymentMode_Clean]]))="cash","Cash","Digital")</f>
        <v>Digital</v>
      </c>
      <c r="V16" s="6">
        <f>MONTH(Table1[[#This Row],[Date]])</f>
        <v>3</v>
      </c>
    </row>
    <row r="17" spans="1:22" ht="18" x14ac:dyDescent="0.35">
      <c r="A17" s="11">
        <f>DATE(2026, MONTH(Raw_Data!A17), DAY(Raw_Data!A17))</f>
        <v>46113</v>
      </c>
      <c r="B17" s="6" t="s">
        <v>15</v>
      </c>
      <c r="C17" s="6" t="str">
        <f t="shared" si="0"/>
        <v>Food</v>
      </c>
      <c r="D17" s="6"/>
      <c r="E17" s="6" t="str">
        <f t="shared" si="1"/>
        <v>Not Specified</v>
      </c>
      <c r="F17" s="6"/>
      <c r="G17" s="6" t="str">
        <f t="shared" si="2"/>
        <v>Not Provided</v>
      </c>
      <c r="H17" s="6">
        <v>90</v>
      </c>
      <c r="I17" s="6">
        <f t="shared" si="3"/>
        <v>90</v>
      </c>
      <c r="J17" s="6" t="s">
        <v>21</v>
      </c>
      <c r="K17" s="6" t="str">
        <f t="shared" si="4"/>
        <v>Cash</v>
      </c>
      <c r="L17" s="6" t="s">
        <v>13</v>
      </c>
      <c r="M17" s="6" t="str">
        <f t="shared" si="5"/>
        <v>Outside</v>
      </c>
      <c r="N17" s="6"/>
      <c r="O17" s="6" t="str">
        <f t="shared" si="6"/>
        <v>Not Specified</v>
      </c>
      <c r="P17" s="6" t="str">
        <f>TEXT(Table1[[#This Row],[Date]],"mmmm")</f>
        <v>April</v>
      </c>
      <c r="Q17" s="6">
        <f>YEAR(Table1[[#This Row],[Date]])</f>
        <v>2026</v>
      </c>
      <c r="R17" s="6" t="str">
        <f>TEXT(Table1[[#This Row],[Date]],"dddd")</f>
        <v>Wednesday</v>
      </c>
      <c r="S17" s="6" t="str">
        <f>IF(WEEKDAY(Table1[[#This Row],[Date]],2)&gt;5,"Weekend","Weekday")</f>
        <v>Weekday</v>
      </c>
      <c r="T17" s="6" t="str">
        <f>IF(Table1[[#This Row],[Amount_Clean]]&gt;500,"High","Normal")</f>
        <v>Normal</v>
      </c>
      <c r="U17" s="6" t="str">
        <f>IF(LOWER(TRIM(Table1[[#This Row],[PaymentMode_Clean]]))="cash","Cash","Digital")</f>
        <v>Cash</v>
      </c>
      <c r="V17" s="6">
        <f>MONTH(Table1[[#This Row],[Date]])</f>
        <v>4</v>
      </c>
    </row>
    <row r="18" spans="1:22" ht="18" x14ac:dyDescent="0.35">
      <c r="A18" s="11">
        <f>DATE(2026, MONTH(Raw_Data!A18), DAY(Raw_Data!A18))</f>
        <v>46143</v>
      </c>
      <c r="B18" s="6" t="s">
        <v>28</v>
      </c>
      <c r="C18" s="6" t="str">
        <f t="shared" si="0"/>
        <v>Travel</v>
      </c>
      <c r="D18" s="6" t="s">
        <v>25</v>
      </c>
      <c r="E18" s="6" t="str">
        <f t="shared" si="1"/>
        <v>Bus</v>
      </c>
      <c r="F18" s="6" t="s">
        <v>24</v>
      </c>
      <c r="G18" s="6" t="str">
        <f t="shared" si="2"/>
        <v>College Bus</v>
      </c>
      <c r="H18" s="6">
        <v>40</v>
      </c>
      <c r="I18" s="6">
        <f t="shared" si="3"/>
        <v>40</v>
      </c>
      <c r="J18" s="6" t="s">
        <v>21</v>
      </c>
      <c r="K18" s="6" t="str">
        <f t="shared" si="4"/>
        <v>Cash</v>
      </c>
      <c r="L18" s="6" t="s">
        <v>13</v>
      </c>
      <c r="M18" s="6" t="str">
        <f t="shared" si="5"/>
        <v>Outside</v>
      </c>
      <c r="N18" s="6"/>
      <c r="O18" s="6" t="str">
        <f t="shared" si="6"/>
        <v>Not Specified</v>
      </c>
      <c r="P18" s="6" t="str">
        <f>TEXT(Table1[[#This Row],[Date]],"mmmm")</f>
        <v>May</v>
      </c>
      <c r="Q18" s="6">
        <f>YEAR(Table1[[#This Row],[Date]])</f>
        <v>2026</v>
      </c>
      <c r="R18" s="6" t="str">
        <f>TEXT(Table1[[#This Row],[Date]],"dddd")</f>
        <v>Friday</v>
      </c>
      <c r="S18" s="6" t="str">
        <f>IF(WEEKDAY(Table1[[#This Row],[Date]],2)&gt;5,"Weekend","Weekday")</f>
        <v>Weekday</v>
      </c>
      <c r="T18" s="6" t="str">
        <f>IF(Table1[[#This Row],[Amount_Clean]]&gt;500,"High","Normal")</f>
        <v>Normal</v>
      </c>
      <c r="U18" s="6" t="str">
        <f>IF(LOWER(TRIM(Table1[[#This Row],[PaymentMode_Clean]]))="cash","Cash","Digital")</f>
        <v>Cash</v>
      </c>
      <c r="V18" s="6">
        <f>MONTH(Table1[[#This Row],[Date]])</f>
        <v>5</v>
      </c>
    </row>
    <row r="19" spans="1:22" ht="18" x14ac:dyDescent="0.35">
      <c r="A19" s="11">
        <f>DATE(2026, MONTH(Raw_Data!A19), DAY(Raw_Data!A19))</f>
        <v>46174</v>
      </c>
      <c r="B19" s="6" t="s">
        <v>27</v>
      </c>
      <c r="C19" s="6" t="str">
        <f t="shared" si="0"/>
        <v>Entertainment</v>
      </c>
      <c r="D19" s="6" t="s">
        <v>26</v>
      </c>
      <c r="E19" s="6" t="str">
        <f t="shared" si="1"/>
        <v>Movie</v>
      </c>
      <c r="F19" s="6"/>
      <c r="G19" s="6" t="str">
        <f t="shared" si="2"/>
        <v>Not Provided</v>
      </c>
      <c r="H19" s="7">
        <v>350</v>
      </c>
      <c r="I19" s="6">
        <f t="shared" si="3"/>
        <v>350</v>
      </c>
      <c r="J19" s="6" t="s">
        <v>23</v>
      </c>
      <c r="K19" s="6" t="str">
        <f t="shared" si="4"/>
        <v>Card</v>
      </c>
      <c r="L19" s="6" t="s">
        <v>22</v>
      </c>
      <c r="M19" s="6" t="str">
        <f t="shared" si="5"/>
        <v>Mall</v>
      </c>
      <c r="N19" s="6"/>
      <c r="O19" s="6" t="str">
        <f t="shared" si="6"/>
        <v>Not Specified</v>
      </c>
      <c r="P19" s="6" t="str">
        <f>TEXT(Table1[[#This Row],[Date]],"mmmm")</f>
        <v>June</v>
      </c>
      <c r="Q19" s="6">
        <f>YEAR(Table1[[#This Row],[Date]])</f>
        <v>2026</v>
      </c>
      <c r="R19" s="6" t="str">
        <f>TEXT(Table1[[#This Row],[Date]],"dddd")</f>
        <v>Monday</v>
      </c>
      <c r="S19" s="6" t="str">
        <f>IF(WEEKDAY(Table1[[#This Row],[Date]],2)&gt;5,"Weekend","Weekday")</f>
        <v>Weekday</v>
      </c>
      <c r="T19" s="6" t="str">
        <f>IF(Table1[[#This Row],[Amount_Clean]]&gt;500,"High","Normal")</f>
        <v>Normal</v>
      </c>
      <c r="U19" s="6" t="str">
        <f>IF(LOWER(TRIM(Table1[[#This Row],[PaymentMode_Clean]]))="cash","Cash","Digital")</f>
        <v>Digital</v>
      </c>
      <c r="V19" s="6">
        <f>MONTH(Table1[[#This Row],[Date]])</f>
        <v>6</v>
      </c>
    </row>
    <row r="20" spans="1:22" ht="18" x14ac:dyDescent="0.35">
      <c r="A20" s="11">
        <f>DATE(2026, MONTH(Raw_Data!A20), DAY(Raw_Data!A20))</f>
        <v>46204</v>
      </c>
      <c r="B20" s="6" t="s">
        <v>27</v>
      </c>
      <c r="C20" s="6" t="str">
        <f t="shared" si="0"/>
        <v>Entertainment</v>
      </c>
      <c r="D20" s="6" t="s">
        <v>26</v>
      </c>
      <c r="E20" s="6" t="str">
        <f t="shared" si="1"/>
        <v>Movie</v>
      </c>
      <c r="F20" s="6"/>
      <c r="G20" s="6" t="str">
        <f t="shared" si="2"/>
        <v>Not Provided</v>
      </c>
      <c r="H20" s="7">
        <v>350</v>
      </c>
      <c r="I20" s="6">
        <f t="shared" si="3"/>
        <v>350</v>
      </c>
      <c r="J20" s="6" t="s">
        <v>23</v>
      </c>
      <c r="K20" s="6" t="str">
        <f t="shared" si="4"/>
        <v>Card</v>
      </c>
      <c r="L20" s="6" t="s">
        <v>22</v>
      </c>
      <c r="M20" s="6" t="str">
        <f t="shared" si="5"/>
        <v>Mall</v>
      </c>
      <c r="N20" s="6"/>
      <c r="O20" s="6" t="str">
        <f t="shared" si="6"/>
        <v>Not Specified</v>
      </c>
      <c r="P20" s="6" t="str">
        <f>TEXT(Table1[[#This Row],[Date]],"mmmm")</f>
        <v>July</v>
      </c>
      <c r="Q20" s="6">
        <f>YEAR(Table1[[#This Row],[Date]])</f>
        <v>2026</v>
      </c>
      <c r="R20" s="6" t="str">
        <f>TEXT(Table1[[#This Row],[Date]],"dddd")</f>
        <v>Wednesday</v>
      </c>
      <c r="S20" s="6" t="str">
        <f>IF(WEEKDAY(Table1[[#This Row],[Date]],2)&gt;5,"Weekend","Weekday")</f>
        <v>Weekday</v>
      </c>
      <c r="T20" s="6" t="str">
        <f>IF(Table1[[#This Row],[Amount_Clean]]&gt;500,"High","Normal")</f>
        <v>Normal</v>
      </c>
      <c r="U20" s="6" t="str">
        <f>IF(LOWER(TRIM(Table1[[#This Row],[PaymentMode_Clean]]))="cash","Cash","Digital")</f>
        <v>Digital</v>
      </c>
      <c r="V20" s="6">
        <f>MONTH(Table1[[#This Row],[Date]])</f>
        <v>7</v>
      </c>
    </row>
    <row r="21" spans="1:22" ht="18" x14ac:dyDescent="0.35">
      <c r="A21" s="11">
        <f>DATE(2026, MONTH(Raw_Data!A21), DAY(Raw_Data!A21))</f>
        <v>46235</v>
      </c>
      <c r="B21" s="6" t="s">
        <v>15</v>
      </c>
      <c r="C21" s="6" t="str">
        <f t="shared" si="0"/>
        <v>Food</v>
      </c>
      <c r="D21" s="6"/>
      <c r="E21" s="6" t="str">
        <f t="shared" si="1"/>
        <v>Not Specified</v>
      </c>
      <c r="F21" s="6"/>
      <c r="G21" s="6" t="str">
        <f t="shared" si="2"/>
        <v>Not Provided</v>
      </c>
      <c r="H21" s="6">
        <v>90</v>
      </c>
      <c r="I21" s="6">
        <f t="shared" si="3"/>
        <v>90</v>
      </c>
      <c r="J21" s="6" t="s">
        <v>21</v>
      </c>
      <c r="K21" s="6" t="str">
        <f t="shared" si="4"/>
        <v>Cash</v>
      </c>
      <c r="L21" s="6" t="s">
        <v>13</v>
      </c>
      <c r="M21" s="6" t="str">
        <f t="shared" si="5"/>
        <v>Outside</v>
      </c>
      <c r="N21" s="6"/>
      <c r="O21" s="6" t="str">
        <f t="shared" si="6"/>
        <v>Not Specified</v>
      </c>
      <c r="P21" s="6" t="str">
        <f>TEXT(Table1[[#This Row],[Date]],"mmmm")</f>
        <v>August</v>
      </c>
      <c r="Q21" s="6">
        <f>YEAR(Table1[[#This Row],[Date]])</f>
        <v>2026</v>
      </c>
      <c r="R21" s="6" t="str">
        <f>TEXT(Table1[[#This Row],[Date]],"dddd")</f>
        <v>Saturday</v>
      </c>
      <c r="S21" s="6" t="str">
        <f>IF(WEEKDAY(Table1[[#This Row],[Date]],2)&gt;5,"Weekend","Weekday")</f>
        <v>Weekend</v>
      </c>
      <c r="T21" s="6" t="str">
        <f>IF(Table1[[#This Row],[Amount_Clean]]&gt;500,"High","Normal")</f>
        <v>Normal</v>
      </c>
      <c r="U21" s="6" t="str">
        <f>IF(LOWER(TRIM(Table1[[#This Row],[PaymentMode_Clean]]))="cash","Cash","Digital")</f>
        <v>Cash</v>
      </c>
      <c r="V21" s="6">
        <f>MONTH(Table1[[#This Row],[Date]])</f>
        <v>8</v>
      </c>
    </row>
    <row r="22" spans="1:22" ht="18" x14ac:dyDescent="0.35">
      <c r="A22" s="11">
        <f>DATE(2026, MONTH(Raw_Data!A22), DAY(Raw_Data!A22))</f>
        <v>46266</v>
      </c>
      <c r="B22" s="6" t="s">
        <v>8</v>
      </c>
      <c r="C22" s="6" t="str">
        <f t="shared" si="0"/>
        <v>Food</v>
      </c>
      <c r="D22" s="6" t="s">
        <v>9</v>
      </c>
      <c r="E22" s="6" t="str">
        <f t="shared" si="1"/>
        <v>Lunch</v>
      </c>
      <c r="F22" s="6" t="s">
        <v>10</v>
      </c>
      <c r="G22" s="6" t="str">
        <f t="shared" si="2"/>
        <v>Canteen</v>
      </c>
      <c r="H22" s="6" t="s">
        <v>11</v>
      </c>
      <c r="I22" s="6">
        <f t="shared" si="3"/>
        <v>200</v>
      </c>
      <c r="J22" s="6" t="s">
        <v>12</v>
      </c>
      <c r="K22" s="6" t="str">
        <f t="shared" si="4"/>
        <v>UPI</v>
      </c>
      <c r="L22" s="6" t="s">
        <v>13</v>
      </c>
      <c r="M22" s="6" t="str">
        <f t="shared" si="5"/>
        <v>Outside</v>
      </c>
      <c r="N22" s="6"/>
      <c r="O22" s="6" t="str">
        <f t="shared" si="6"/>
        <v>Not Specified</v>
      </c>
      <c r="P22" s="6" t="str">
        <f>TEXT(Table1[[#This Row],[Date]],"mmmm")</f>
        <v>September</v>
      </c>
      <c r="Q22" s="6">
        <f>YEAR(Table1[[#This Row],[Date]])</f>
        <v>2026</v>
      </c>
      <c r="R22" s="6" t="str">
        <f>TEXT(Table1[[#This Row],[Date]],"dddd")</f>
        <v>Tuesday</v>
      </c>
      <c r="S22" s="6" t="str">
        <f>IF(WEEKDAY(Table1[[#This Row],[Date]],2)&gt;5,"Weekend","Weekday")</f>
        <v>Weekday</v>
      </c>
      <c r="T22" s="6" t="str">
        <f>IF(Table1[[#This Row],[Amount_Clean]]&gt;500,"High","Normal")</f>
        <v>Normal</v>
      </c>
      <c r="U22" s="6" t="str">
        <f>IF(LOWER(TRIM(Table1[[#This Row],[PaymentMode_Clean]]))="cash","Cash","Digital")</f>
        <v>Digital</v>
      </c>
      <c r="V22" s="6">
        <f>MONTH(Table1[[#This Row],[Date]])</f>
        <v>9</v>
      </c>
    </row>
    <row r="23" spans="1:22" ht="18" x14ac:dyDescent="0.35">
      <c r="A23" s="11">
        <f>DATE(2026, MONTH(Raw_Data!A23), DAY(Raw_Data!A23))</f>
        <v>46296</v>
      </c>
      <c r="B23" s="6" t="s">
        <v>15</v>
      </c>
      <c r="C23" s="6" t="str">
        <f t="shared" si="0"/>
        <v>Food</v>
      </c>
      <c r="D23" s="6" t="s">
        <v>16</v>
      </c>
      <c r="E23" s="6" t="str">
        <f t="shared" si="1"/>
        <v>Dinner</v>
      </c>
      <c r="F23" s="6" t="s">
        <v>17</v>
      </c>
      <c r="G23" s="6" t="str">
        <f t="shared" si="2"/>
        <v>Zomato</v>
      </c>
      <c r="H23" s="6" t="s">
        <v>18</v>
      </c>
      <c r="I23" s="6">
        <f t="shared" si="3"/>
        <v>280</v>
      </c>
      <c r="J23" s="6" t="s">
        <v>19</v>
      </c>
      <c r="K23" s="6" t="str">
        <f t="shared" si="4"/>
        <v>UPI</v>
      </c>
      <c r="L23" s="6" t="s">
        <v>20</v>
      </c>
      <c r="M23" s="6" t="str">
        <f t="shared" si="5"/>
        <v>Home</v>
      </c>
      <c r="N23" s="6" t="s">
        <v>14</v>
      </c>
      <c r="O23" s="6" t="str">
        <f t="shared" si="6"/>
        <v>Late</v>
      </c>
      <c r="P23" s="6" t="str">
        <f>TEXT(Table1[[#This Row],[Date]],"mmmm")</f>
        <v>October</v>
      </c>
      <c r="Q23" s="6">
        <f>YEAR(Table1[[#This Row],[Date]])</f>
        <v>2026</v>
      </c>
      <c r="R23" s="6" t="str">
        <f>TEXT(Table1[[#This Row],[Date]],"dddd")</f>
        <v>Thursday</v>
      </c>
      <c r="S23" s="6" t="str">
        <f>IF(WEEKDAY(Table1[[#This Row],[Date]],2)&gt;5,"Weekend","Weekday")</f>
        <v>Weekday</v>
      </c>
      <c r="T23" s="6" t="str">
        <f>IF(Table1[[#This Row],[Amount_Clean]]&gt;500,"High","Normal")</f>
        <v>Normal</v>
      </c>
      <c r="U23" s="6" t="str">
        <f>IF(LOWER(TRIM(Table1[[#This Row],[PaymentMode_Clean]]))="cash","Cash","Digital")</f>
        <v>Digital</v>
      </c>
      <c r="V23" s="6">
        <f>MONTH(Table1[[#This Row],[Date]])</f>
        <v>10</v>
      </c>
    </row>
    <row r="24" spans="1:22" ht="18" x14ac:dyDescent="0.35">
      <c r="A24" s="11">
        <f>DATE(2026, MONTH(Raw_Data!A24), DAY(Raw_Data!A24))</f>
        <v>46327</v>
      </c>
      <c r="B24" s="6" t="s">
        <v>15</v>
      </c>
      <c r="C24" s="6" t="str">
        <f t="shared" si="0"/>
        <v>Food</v>
      </c>
      <c r="D24" s="6"/>
      <c r="E24" s="6" t="str">
        <f t="shared" si="1"/>
        <v>Not Specified</v>
      </c>
      <c r="F24" s="6"/>
      <c r="G24" s="6" t="str">
        <f t="shared" si="2"/>
        <v>Not Provided</v>
      </c>
      <c r="H24" s="6">
        <v>90</v>
      </c>
      <c r="I24" s="6">
        <f t="shared" si="3"/>
        <v>90</v>
      </c>
      <c r="J24" s="6" t="s">
        <v>21</v>
      </c>
      <c r="K24" s="6" t="str">
        <f t="shared" si="4"/>
        <v>Cash</v>
      </c>
      <c r="L24" s="6" t="s">
        <v>13</v>
      </c>
      <c r="M24" s="6" t="str">
        <f t="shared" si="5"/>
        <v>Outside</v>
      </c>
      <c r="N24" s="6"/>
      <c r="O24" s="6" t="str">
        <f t="shared" si="6"/>
        <v>Not Specified</v>
      </c>
      <c r="P24" s="6" t="str">
        <f>TEXT(Table1[[#This Row],[Date]],"mmmm")</f>
        <v>November</v>
      </c>
      <c r="Q24" s="6">
        <f>YEAR(Table1[[#This Row],[Date]])</f>
        <v>2026</v>
      </c>
      <c r="R24" s="6" t="str">
        <f>TEXT(Table1[[#This Row],[Date]],"dddd")</f>
        <v>Sunday</v>
      </c>
      <c r="S24" s="6" t="str">
        <f>IF(WEEKDAY(Table1[[#This Row],[Date]],2)&gt;5,"Weekend","Weekday")</f>
        <v>Weekend</v>
      </c>
      <c r="T24" s="6" t="str">
        <f>IF(Table1[[#This Row],[Amount_Clean]]&gt;500,"High","Normal")</f>
        <v>Normal</v>
      </c>
      <c r="U24" s="6" t="str">
        <f>IF(LOWER(TRIM(Table1[[#This Row],[PaymentMode_Clean]]))="cash","Cash","Digital")</f>
        <v>Cash</v>
      </c>
      <c r="V24" s="6">
        <f>MONTH(Table1[[#This Row],[Date]])</f>
        <v>11</v>
      </c>
    </row>
    <row r="25" spans="1:22" ht="18" x14ac:dyDescent="0.35">
      <c r="A25" s="11">
        <f>DATE(2026, MONTH(Raw_Data!A25), DAY(Raw_Data!A25))</f>
        <v>46357</v>
      </c>
      <c r="B25" s="6" t="s">
        <v>28</v>
      </c>
      <c r="C25" s="6" t="str">
        <f t="shared" si="0"/>
        <v>Travel</v>
      </c>
      <c r="D25" s="6" t="s">
        <v>25</v>
      </c>
      <c r="E25" s="6" t="str">
        <f t="shared" si="1"/>
        <v>Bus</v>
      </c>
      <c r="F25" s="6" t="s">
        <v>24</v>
      </c>
      <c r="G25" s="6" t="str">
        <f t="shared" si="2"/>
        <v>College Bus</v>
      </c>
      <c r="H25" s="6">
        <v>40</v>
      </c>
      <c r="I25" s="6">
        <f t="shared" si="3"/>
        <v>40</v>
      </c>
      <c r="J25" s="6" t="s">
        <v>21</v>
      </c>
      <c r="K25" s="6" t="str">
        <f t="shared" si="4"/>
        <v>Cash</v>
      </c>
      <c r="L25" s="6" t="s">
        <v>13</v>
      </c>
      <c r="M25" s="6" t="str">
        <f t="shared" si="5"/>
        <v>Outside</v>
      </c>
      <c r="N25" s="6"/>
      <c r="O25" s="6" t="str">
        <f t="shared" si="6"/>
        <v>Not Specified</v>
      </c>
      <c r="P25" s="6" t="str">
        <f>TEXT(Table1[[#This Row],[Date]],"mmmm")</f>
        <v>December</v>
      </c>
      <c r="Q25" s="6">
        <f>YEAR(Table1[[#This Row],[Date]])</f>
        <v>2026</v>
      </c>
      <c r="R25" s="6" t="str">
        <f>TEXT(Table1[[#This Row],[Date]],"dddd")</f>
        <v>Tuesday</v>
      </c>
      <c r="S25" s="6" t="str">
        <f>IF(WEEKDAY(Table1[[#This Row],[Date]],2)&gt;5,"Weekend","Weekday")</f>
        <v>Weekday</v>
      </c>
      <c r="T25" s="6" t="str">
        <f>IF(Table1[[#This Row],[Amount_Clean]]&gt;500,"High","Normal")</f>
        <v>Normal</v>
      </c>
      <c r="U25" s="6" t="str">
        <f>IF(LOWER(TRIM(Table1[[#This Row],[PaymentMode_Clean]]))="cash","Cash","Digital")</f>
        <v>Cash</v>
      </c>
      <c r="V25" s="6">
        <f>MONTH(Table1[[#This Row],[Date]])</f>
        <v>12</v>
      </c>
    </row>
    <row r="26" spans="1:22" ht="18" x14ac:dyDescent="0.35">
      <c r="A26" s="11">
        <f>DATE(2026, MONTH(Raw_Data!A26), DAY(Raw_Data!A26))</f>
        <v>46023</v>
      </c>
      <c r="B26" s="6" t="s">
        <v>27</v>
      </c>
      <c r="C26" s="6" t="str">
        <f t="shared" si="0"/>
        <v>Entertainment</v>
      </c>
      <c r="D26" s="6" t="s">
        <v>26</v>
      </c>
      <c r="E26" s="6" t="str">
        <f t="shared" si="1"/>
        <v>Movie</v>
      </c>
      <c r="F26" s="6"/>
      <c r="G26" s="6" t="str">
        <f t="shared" si="2"/>
        <v>Not Provided</v>
      </c>
      <c r="H26" s="7">
        <v>350</v>
      </c>
      <c r="I26" s="6">
        <f t="shared" si="3"/>
        <v>350</v>
      </c>
      <c r="J26" s="6" t="s">
        <v>23</v>
      </c>
      <c r="K26" s="6" t="str">
        <f t="shared" si="4"/>
        <v>Card</v>
      </c>
      <c r="L26" s="6" t="s">
        <v>22</v>
      </c>
      <c r="M26" s="6" t="str">
        <f t="shared" si="5"/>
        <v>Mall</v>
      </c>
      <c r="N26" s="6"/>
      <c r="O26" s="6" t="str">
        <f t="shared" si="6"/>
        <v>Not Specified</v>
      </c>
      <c r="P26" s="6" t="str">
        <f>TEXT(Table1[[#This Row],[Date]],"mmmm")</f>
        <v>January</v>
      </c>
      <c r="Q26" s="6">
        <f>YEAR(Table1[[#This Row],[Date]])</f>
        <v>2026</v>
      </c>
      <c r="R26" s="6" t="str">
        <f>TEXT(Table1[[#This Row],[Date]],"dddd")</f>
        <v>Thursday</v>
      </c>
      <c r="S26" s="6" t="str">
        <f>IF(WEEKDAY(Table1[[#This Row],[Date]],2)&gt;5,"Weekend","Weekday")</f>
        <v>Weekday</v>
      </c>
      <c r="T26" s="6" t="str">
        <f>IF(Table1[[#This Row],[Amount_Clean]]&gt;500,"High","Normal")</f>
        <v>Normal</v>
      </c>
      <c r="U26" s="6" t="str">
        <f>IF(LOWER(TRIM(Table1[[#This Row],[PaymentMode_Clean]]))="cash","Cash","Digital")</f>
        <v>Digital</v>
      </c>
      <c r="V26" s="6">
        <f>MONTH(Table1[[#This Row],[Date]])</f>
        <v>1</v>
      </c>
    </row>
    <row r="27" spans="1:22" ht="18" x14ac:dyDescent="0.35">
      <c r="A27" s="11">
        <f>DATE(2026, MONTH(Raw_Data!A27), DAY(Raw_Data!A27))</f>
        <v>46054</v>
      </c>
      <c r="B27" s="6" t="s">
        <v>15</v>
      </c>
      <c r="C27" s="6" t="str">
        <f t="shared" si="0"/>
        <v>Food</v>
      </c>
      <c r="D27" s="6"/>
      <c r="E27" s="6" t="str">
        <f t="shared" si="1"/>
        <v>Not Specified</v>
      </c>
      <c r="F27" s="6"/>
      <c r="G27" s="6" t="str">
        <f t="shared" si="2"/>
        <v>Not Provided</v>
      </c>
      <c r="H27" s="6">
        <v>90</v>
      </c>
      <c r="I27" s="6">
        <f t="shared" si="3"/>
        <v>90</v>
      </c>
      <c r="J27" s="6" t="s">
        <v>21</v>
      </c>
      <c r="K27" s="6" t="str">
        <f t="shared" si="4"/>
        <v>Cash</v>
      </c>
      <c r="L27" s="6" t="s">
        <v>13</v>
      </c>
      <c r="M27" s="6" t="str">
        <f t="shared" si="5"/>
        <v>Outside</v>
      </c>
      <c r="N27" s="6"/>
      <c r="O27" s="6" t="str">
        <f t="shared" si="6"/>
        <v>Not Specified</v>
      </c>
      <c r="P27" s="6" t="str">
        <f>TEXT(Table1[[#This Row],[Date]],"mmmm")</f>
        <v>February</v>
      </c>
      <c r="Q27" s="6">
        <f>YEAR(Table1[[#This Row],[Date]])</f>
        <v>2026</v>
      </c>
      <c r="R27" s="6" t="str">
        <f>TEXT(Table1[[#This Row],[Date]],"dddd")</f>
        <v>Sunday</v>
      </c>
      <c r="S27" s="6" t="str">
        <f>IF(WEEKDAY(Table1[[#This Row],[Date]],2)&gt;5,"Weekend","Weekday")</f>
        <v>Weekend</v>
      </c>
      <c r="T27" s="6" t="str">
        <f>IF(Table1[[#This Row],[Amount_Clean]]&gt;500,"High","Normal")</f>
        <v>Normal</v>
      </c>
      <c r="U27" s="6" t="str">
        <f>IF(LOWER(TRIM(Table1[[#This Row],[PaymentMode_Clean]]))="cash","Cash","Digital")</f>
        <v>Cash</v>
      </c>
      <c r="V27" s="6">
        <f>MONTH(Table1[[#This Row],[Date]])</f>
        <v>2</v>
      </c>
    </row>
    <row r="28" spans="1:22" ht="18" x14ac:dyDescent="0.35">
      <c r="A28" s="11">
        <f>DATE(2026, MONTH(Raw_Data!A28), DAY(Raw_Data!A28))</f>
        <v>46082</v>
      </c>
      <c r="B28" s="6" t="s">
        <v>8</v>
      </c>
      <c r="C28" s="6" t="str">
        <f t="shared" si="0"/>
        <v>Food</v>
      </c>
      <c r="D28" s="6" t="s">
        <v>9</v>
      </c>
      <c r="E28" s="6" t="str">
        <f t="shared" si="1"/>
        <v>Lunch</v>
      </c>
      <c r="F28" s="6" t="s">
        <v>10</v>
      </c>
      <c r="G28" s="6" t="str">
        <f t="shared" si="2"/>
        <v>Canteen</v>
      </c>
      <c r="H28" s="6" t="s">
        <v>11</v>
      </c>
      <c r="I28" s="6">
        <f t="shared" si="3"/>
        <v>200</v>
      </c>
      <c r="J28" s="6" t="s">
        <v>12</v>
      </c>
      <c r="K28" s="6" t="str">
        <f t="shared" si="4"/>
        <v>UPI</v>
      </c>
      <c r="L28" s="6" t="s">
        <v>13</v>
      </c>
      <c r="M28" s="6" t="str">
        <f t="shared" si="5"/>
        <v>Outside</v>
      </c>
      <c r="N28" s="6"/>
      <c r="O28" s="6" t="str">
        <f t="shared" si="6"/>
        <v>Not Specified</v>
      </c>
      <c r="P28" s="6" t="str">
        <f>TEXT(Table1[[#This Row],[Date]],"mmmm")</f>
        <v>March</v>
      </c>
      <c r="Q28" s="6">
        <f>YEAR(Table1[[#This Row],[Date]])</f>
        <v>2026</v>
      </c>
      <c r="R28" s="6" t="str">
        <f>TEXT(Table1[[#This Row],[Date]],"dddd")</f>
        <v>Sunday</v>
      </c>
      <c r="S28" s="6" t="str">
        <f>IF(WEEKDAY(Table1[[#This Row],[Date]],2)&gt;5,"Weekend","Weekday")</f>
        <v>Weekend</v>
      </c>
      <c r="T28" s="6" t="str">
        <f>IF(Table1[[#This Row],[Amount_Clean]]&gt;500,"High","Normal")</f>
        <v>Normal</v>
      </c>
      <c r="U28" s="6" t="str">
        <f>IF(LOWER(TRIM(Table1[[#This Row],[PaymentMode_Clean]]))="cash","Cash","Digital")</f>
        <v>Digital</v>
      </c>
      <c r="V28" s="6">
        <f>MONTH(Table1[[#This Row],[Date]])</f>
        <v>3</v>
      </c>
    </row>
    <row r="29" spans="1:22" ht="18" x14ac:dyDescent="0.35">
      <c r="A29" s="11">
        <f>DATE(2026, MONTH(Raw_Data!A29), DAY(Raw_Data!A29))</f>
        <v>46113</v>
      </c>
      <c r="B29" s="6" t="s">
        <v>15</v>
      </c>
      <c r="C29" s="6" t="str">
        <f t="shared" si="0"/>
        <v>Food</v>
      </c>
      <c r="D29" s="6" t="s">
        <v>16</v>
      </c>
      <c r="E29" s="6" t="str">
        <f t="shared" si="1"/>
        <v>Dinner</v>
      </c>
      <c r="F29" s="6" t="s">
        <v>17</v>
      </c>
      <c r="G29" s="6" t="str">
        <f t="shared" si="2"/>
        <v>Zomato</v>
      </c>
      <c r="H29" s="6" t="s">
        <v>18</v>
      </c>
      <c r="I29" s="6">
        <f t="shared" si="3"/>
        <v>280</v>
      </c>
      <c r="J29" s="6" t="s">
        <v>19</v>
      </c>
      <c r="K29" s="6" t="str">
        <f t="shared" si="4"/>
        <v>UPI</v>
      </c>
      <c r="L29" s="6" t="s">
        <v>20</v>
      </c>
      <c r="M29" s="6" t="str">
        <f t="shared" si="5"/>
        <v>Home</v>
      </c>
      <c r="N29" s="6" t="s">
        <v>14</v>
      </c>
      <c r="O29" s="6" t="str">
        <f t="shared" si="6"/>
        <v>Late</v>
      </c>
      <c r="P29" s="6" t="str">
        <f>TEXT(Table1[[#This Row],[Date]],"mmmm")</f>
        <v>April</v>
      </c>
      <c r="Q29" s="6">
        <f>YEAR(Table1[[#This Row],[Date]])</f>
        <v>2026</v>
      </c>
      <c r="R29" s="6" t="str">
        <f>TEXT(Table1[[#This Row],[Date]],"dddd")</f>
        <v>Wednesday</v>
      </c>
      <c r="S29" s="6" t="str">
        <f>IF(WEEKDAY(Table1[[#This Row],[Date]],2)&gt;5,"Weekend","Weekday")</f>
        <v>Weekday</v>
      </c>
      <c r="T29" s="6" t="str">
        <f>IF(Table1[[#This Row],[Amount_Clean]]&gt;500,"High","Normal")</f>
        <v>Normal</v>
      </c>
      <c r="U29" s="6" t="str">
        <f>IF(LOWER(TRIM(Table1[[#This Row],[PaymentMode_Clean]]))="cash","Cash","Digital")</f>
        <v>Digital</v>
      </c>
      <c r="V29" s="6">
        <f>MONTH(Table1[[#This Row],[Date]])</f>
        <v>4</v>
      </c>
    </row>
    <row r="30" spans="1:22" ht="18" x14ac:dyDescent="0.35">
      <c r="A30" s="11">
        <f>DATE(2026, MONTH(Raw_Data!A30), DAY(Raw_Data!A30))</f>
        <v>46143</v>
      </c>
      <c r="B30" s="6" t="s">
        <v>15</v>
      </c>
      <c r="C30" s="6" t="str">
        <f t="shared" si="0"/>
        <v>Food</v>
      </c>
      <c r="D30" s="6"/>
      <c r="E30" s="6" t="str">
        <f t="shared" si="1"/>
        <v>Not Specified</v>
      </c>
      <c r="F30" s="6"/>
      <c r="G30" s="6" t="str">
        <f t="shared" si="2"/>
        <v>Not Provided</v>
      </c>
      <c r="H30" s="6">
        <v>90</v>
      </c>
      <c r="I30" s="6">
        <f t="shared" si="3"/>
        <v>90</v>
      </c>
      <c r="J30" s="6" t="s">
        <v>21</v>
      </c>
      <c r="K30" s="6" t="str">
        <f t="shared" si="4"/>
        <v>Cash</v>
      </c>
      <c r="L30" s="6" t="s">
        <v>13</v>
      </c>
      <c r="M30" s="6" t="str">
        <f t="shared" si="5"/>
        <v>Outside</v>
      </c>
      <c r="N30" s="6"/>
      <c r="O30" s="6" t="str">
        <f t="shared" si="6"/>
        <v>Not Specified</v>
      </c>
      <c r="P30" s="6" t="str">
        <f>TEXT(Table1[[#This Row],[Date]],"mmmm")</f>
        <v>May</v>
      </c>
      <c r="Q30" s="6">
        <f>YEAR(Table1[[#This Row],[Date]])</f>
        <v>2026</v>
      </c>
      <c r="R30" s="6" t="str">
        <f>TEXT(Table1[[#This Row],[Date]],"dddd")</f>
        <v>Friday</v>
      </c>
      <c r="S30" s="6" t="str">
        <f>IF(WEEKDAY(Table1[[#This Row],[Date]],2)&gt;5,"Weekend","Weekday")</f>
        <v>Weekday</v>
      </c>
      <c r="T30" s="6" t="str">
        <f>IF(Table1[[#This Row],[Amount_Clean]]&gt;500,"High","Normal")</f>
        <v>Normal</v>
      </c>
      <c r="U30" s="6" t="str">
        <f>IF(LOWER(TRIM(Table1[[#This Row],[PaymentMode_Clean]]))="cash","Cash","Digital")</f>
        <v>Cash</v>
      </c>
      <c r="V30" s="6">
        <f>MONTH(Table1[[#This Row],[Date]])</f>
        <v>5</v>
      </c>
    </row>
    <row r="31" spans="1:22" ht="18" x14ac:dyDescent="0.35">
      <c r="A31" s="11">
        <f>DATE(2026, MONTH(Raw_Data!A31), DAY(Raw_Data!A31))</f>
        <v>46174</v>
      </c>
      <c r="B31" s="6" t="s">
        <v>28</v>
      </c>
      <c r="C31" s="6" t="str">
        <f t="shared" si="0"/>
        <v>Travel</v>
      </c>
      <c r="D31" s="6" t="s">
        <v>25</v>
      </c>
      <c r="E31" s="6" t="str">
        <f t="shared" si="1"/>
        <v>Bus</v>
      </c>
      <c r="F31" s="6" t="s">
        <v>24</v>
      </c>
      <c r="G31" s="6" t="str">
        <f t="shared" si="2"/>
        <v>College Bus</v>
      </c>
      <c r="H31" s="6">
        <v>40</v>
      </c>
      <c r="I31" s="6">
        <f t="shared" si="3"/>
        <v>40</v>
      </c>
      <c r="J31" s="6" t="s">
        <v>21</v>
      </c>
      <c r="K31" s="6" t="str">
        <f t="shared" si="4"/>
        <v>Cash</v>
      </c>
      <c r="L31" s="6" t="s">
        <v>13</v>
      </c>
      <c r="M31" s="6" t="str">
        <f t="shared" si="5"/>
        <v>Outside</v>
      </c>
      <c r="N31" s="6"/>
      <c r="O31" s="6" t="str">
        <f t="shared" si="6"/>
        <v>Not Specified</v>
      </c>
      <c r="P31" s="6" t="str">
        <f>TEXT(Table1[[#This Row],[Date]],"mmmm")</f>
        <v>June</v>
      </c>
      <c r="Q31" s="6">
        <f>YEAR(Table1[[#This Row],[Date]])</f>
        <v>2026</v>
      </c>
      <c r="R31" s="6" t="str">
        <f>TEXT(Table1[[#This Row],[Date]],"dddd")</f>
        <v>Monday</v>
      </c>
      <c r="S31" s="6" t="str">
        <f>IF(WEEKDAY(Table1[[#This Row],[Date]],2)&gt;5,"Weekend","Weekday")</f>
        <v>Weekday</v>
      </c>
      <c r="T31" s="6" t="str">
        <f>IF(Table1[[#This Row],[Amount_Clean]]&gt;500,"High","Normal")</f>
        <v>Normal</v>
      </c>
      <c r="U31" s="6" t="str">
        <f>IF(LOWER(TRIM(Table1[[#This Row],[PaymentMode_Clean]]))="cash","Cash","Digital")</f>
        <v>Cash</v>
      </c>
      <c r="V31" s="6">
        <f>MONTH(Table1[[#This Row],[Date]])</f>
        <v>6</v>
      </c>
    </row>
    <row r="32" spans="1:22" ht="18" x14ac:dyDescent="0.35">
      <c r="A32" s="11">
        <f>DATE(2026, MONTH(Raw_Data!A32), DAY(Raw_Data!A32))</f>
        <v>46204</v>
      </c>
      <c r="B32" s="6" t="s">
        <v>27</v>
      </c>
      <c r="C32" s="6" t="str">
        <f t="shared" si="0"/>
        <v>Entertainment</v>
      </c>
      <c r="D32" s="6" t="s">
        <v>26</v>
      </c>
      <c r="E32" s="6" t="str">
        <f t="shared" si="1"/>
        <v>Movie</v>
      </c>
      <c r="F32" s="6"/>
      <c r="G32" s="6" t="str">
        <f t="shared" si="2"/>
        <v>Not Provided</v>
      </c>
      <c r="H32" s="7">
        <v>350</v>
      </c>
      <c r="I32" s="6">
        <f t="shared" si="3"/>
        <v>350</v>
      </c>
      <c r="J32" s="6" t="s">
        <v>23</v>
      </c>
      <c r="K32" s="6" t="str">
        <f t="shared" si="4"/>
        <v>Card</v>
      </c>
      <c r="L32" s="6" t="s">
        <v>22</v>
      </c>
      <c r="M32" s="6" t="str">
        <f t="shared" si="5"/>
        <v>Mall</v>
      </c>
      <c r="N32" s="6"/>
      <c r="O32" s="6" t="str">
        <f t="shared" si="6"/>
        <v>Not Specified</v>
      </c>
      <c r="P32" s="6" t="str">
        <f>TEXT(Table1[[#This Row],[Date]],"mmmm")</f>
        <v>July</v>
      </c>
      <c r="Q32" s="6">
        <f>YEAR(Table1[[#This Row],[Date]])</f>
        <v>2026</v>
      </c>
      <c r="R32" s="6" t="str">
        <f>TEXT(Table1[[#This Row],[Date]],"dddd")</f>
        <v>Wednesday</v>
      </c>
      <c r="S32" s="6" t="str">
        <f>IF(WEEKDAY(Table1[[#This Row],[Date]],2)&gt;5,"Weekend","Weekday")</f>
        <v>Weekday</v>
      </c>
      <c r="T32" s="6" t="str">
        <f>IF(Table1[[#This Row],[Amount_Clean]]&gt;500,"High","Normal")</f>
        <v>Normal</v>
      </c>
      <c r="U32" s="6" t="str">
        <f>IF(LOWER(TRIM(Table1[[#This Row],[PaymentMode_Clean]]))="cash","Cash","Digital")</f>
        <v>Digital</v>
      </c>
      <c r="V32" s="6">
        <f>MONTH(Table1[[#This Row],[Date]])</f>
        <v>7</v>
      </c>
    </row>
    <row r="33" spans="1:22" ht="18" x14ac:dyDescent="0.35">
      <c r="A33" s="11">
        <f>DATE(2026, MONTH(Raw_Data!A33), DAY(Raw_Data!A33))</f>
        <v>46235</v>
      </c>
      <c r="B33" s="6" t="s">
        <v>15</v>
      </c>
      <c r="C33" s="6" t="str">
        <f t="shared" si="0"/>
        <v>Food</v>
      </c>
      <c r="D33" s="6"/>
      <c r="E33" s="6" t="str">
        <f t="shared" si="1"/>
        <v>Not Specified</v>
      </c>
      <c r="F33" s="6"/>
      <c r="G33" s="6" t="str">
        <f t="shared" si="2"/>
        <v>Not Provided</v>
      </c>
      <c r="H33" s="6">
        <v>90</v>
      </c>
      <c r="I33" s="6">
        <f t="shared" si="3"/>
        <v>90</v>
      </c>
      <c r="J33" s="6" t="s">
        <v>21</v>
      </c>
      <c r="K33" s="6" t="str">
        <f t="shared" si="4"/>
        <v>Cash</v>
      </c>
      <c r="L33" s="6" t="s">
        <v>13</v>
      </c>
      <c r="M33" s="6" t="str">
        <f t="shared" si="5"/>
        <v>Outside</v>
      </c>
      <c r="N33" s="6"/>
      <c r="O33" s="6" t="str">
        <f t="shared" si="6"/>
        <v>Not Specified</v>
      </c>
      <c r="P33" s="6" t="str">
        <f>TEXT(Table1[[#This Row],[Date]],"mmmm")</f>
        <v>August</v>
      </c>
      <c r="Q33" s="6">
        <f>YEAR(Table1[[#This Row],[Date]])</f>
        <v>2026</v>
      </c>
      <c r="R33" s="6" t="str">
        <f>TEXT(Table1[[#This Row],[Date]],"dddd")</f>
        <v>Saturday</v>
      </c>
      <c r="S33" s="6" t="str">
        <f>IF(WEEKDAY(Table1[[#This Row],[Date]],2)&gt;5,"Weekend","Weekday")</f>
        <v>Weekend</v>
      </c>
      <c r="T33" s="6" t="str">
        <f>IF(Table1[[#This Row],[Amount_Clean]]&gt;500,"High","Normal")</f>
        <v>Normal</v>
      </c>
      <c r="U33" s="6" t="str">
        <f>IF(LOWER(TRIM(Table1[[#This Row],[PaymentMode_Clean]]))="cash","Cash","Digital")</f>
        <v>Cash</v>
      </c>
      <c r="V33" s="6">
        <f>MONTH(Table1[[#This Row],[Date]])</f>
        <v>8</v>
      </c>
    </row>
    <row r="34" spans="1:22" ht="18" x14ac:dyDescent="0.35">
      <c r="A34" s="11">
        <f>DATE(2026, MONTH(Raw_Data!A34), DAY(Raw_Data!A34))</f>
        <v>46266</v>
      </c>
      <c r="B34" s="6" t="s">
        <v>27</v>
      </c>
      <c r="C34" s="6" t="str">
        <f t="shared" si="0"/>
        <v>Entertainment</v>
      </c>
      <c r="D34" s="6" t="s">
        <v>26</v>
      </c>
      <c r="E34" s="6" t="str">
        <f t="shared" si="1"/>
        <v>Movie</v>
      </c>
      <c r="F34" s="6"/>
      <c r="G34" s="6" t="str">
        <f t="shared" si="2"/>
        <v>Not Provided</v>
      </c>
      <c r="H34" s="7">
        <v>350</v>
      </c>
      <c r="I34" s="6">
        <f t="shared" si="3"/>
        <v>350</v>
      </c>
      <c r="J34" s="6" t="s">
        <v>23</v>
      </c>
      <c r="K34" s="6" t="str">
        <f t="shared" si="4"/>
        <v>Card</v>
      </c>
      <c r="L34" s="6" t="s">
        <v>22</v>
      </c>
      <c r="M34" s="6" t="str">
        <f t="shared" si="5"/>
        <v>Mall</v>
      </c>
      <c r="N34" s="6"/>
      <c r="O34" s="6" t="str">
        <f t="shared" si="6"/>
        <v>Not Specified</v>
      </c>
      <c r="P34" s="6" t="str">
        <f>TEXT(Table1[[#This Row],[Date]],"mmmm")</f>
        <v>September</v>
      </c>
      <c r="Q34" s="6">
        <f>YEAR(Table1[[#This Row],[Date]])</f>
        <v>2026</v>
      </c>
      <c r="R34" s="6" t="str">
        <f>TEXT(Table1[[#This Row],[Date]],"dddd")</f>
        <v>Tuesday</v>
      </c>
      <c r="S34" s="6" t="str">
        <f>IF(WEEKDAY(Table1[[#This Row],[Date]],2)&gt;5,"Weekend","Weekday")</f>
        <v>Weekday</v>
      </c>
      <c r="T34" s="6" t="str">
        <f>IF(Table1[[#This Row],[Amount_Clean]]&gt;500,"High","Normal")</f>
        <v>Normal</v>
      </c>
      <c r="U34" s="6" t="str">
        <f>IF(LOWER(TRIM(Table1[[#This Row],[PaymentMode_Clean]]))="cash","Cash","Digital")</f>
        <v>Digital</v>
      </c>
      <c r="V34" s="6">
        <f>MONTH(Table1[[#This Row],[Date]])</f>
        <v>9</v>
      </c>
    </row>
    <row r="35" spans="1:22" ht="18" x14ac:dyDescent="0.35">
      <c r="A35" s="11">
        <f>DATE(2026, MONTH(Raw_Data!A35), DAY(Raw_Data!A35))</f>
        <v>46296</v>
      </c>
      <c r="B35" s="6" t="s">
        <v>15</v>
      </c>
      <c r="C35" s="6" t="str">
        <f t="shared" si="0"/>
        <v>Food</v>
      </c>
      <c r="D35" s="6"/>
      <c r="E35" s="6" t="str">
        <f t="shared" si="1"/>
        <v>Not Specified</v>
      </c>
      <c r="F35" s="6"/>
      <c r="G35" s="6" t="str">
        <f t="shared" si="2"/>
        <v>Not Provided</v>
      </c>
      <c r="H35" s="6">
        <v>90</v>
      </c>
      <c r="I35" s="6">
        <f t="shared" si="3"/>
        <v>90</v>
      </c>
      <c r="J35" s="6" t="s">
        <v>21</v>
      </c>
      <c r="K35" s="6" t="str">
        <f t="shared" si="4"/>
        <v>Cash</v>
      </c>
      <c r="L35" s="6" t="s">
        <v>13</v>
      </c>
      <c r="M35" s="6" t="str">
        <f t="shared" si="5"/>
        <v>Outside</v>
      </c>
      <c r="N35" s="6"/>
      <c r="O35" s="6" t="str">
        <f t="shared" si="6"/>
        <v>Not Specified</v>
      </c>
      <c r="P35" s="6" t="str">
        <f>TEXT(Table1[[#This Row],[Date]],"mmmm")</f>
        <v>October</v>
      </c>
      <c r="Q35" s="6">
        <f>YEAR(Table1[[#This Row],[Date]])</f>
        <v>2026</v>
      </c>
      <c r="R35" s="6" t="str">
        <f>TEXT(Table1[[#This Row],[Date]],"dddd")</f>
        <v>Thursday</v>
      </c>
      <c r="S35" s="6" t="str">
        <f>IF(WEEKDAY(Table1[[#This Row],[Date]],2)&gt;5,"Weekend","Weekday")</f>
        <v>Weekday</v>
      </c>
      <c r="T35" s="6" t="str">
        <f>IF(Table1[[#This Row],[Amount_Clean]]&gt;500,"High","Normal")</f>
        <v>Normal</v>
      </c>
      <c r="U35" s="6" t="str">
        <f>IF(LOWER(TRIM(Table1[[#This Row],[PaymentMode_Clean]]))="cash","Cash","Digital")</f>
        <v>Cash</v>
      </c>
      <c r="V35" s="6">
        <f>MONTH(Table1[[#This Row],[Date]])</f>
        <v>10</v>
      </c>
    </row>
    <row r="36" spans="1:22" ht="18" x14ac:dyDescent="0.35">
      <c r="A36" s="11">
        <f>DATE(2026, MONTH(Raw_Data!A36), DAY(Raw_Data!A36))</f>
        <v>46327</v>
      </c>
      <c r="B36" s="6" t="s">
        <v>28</v>
      </c>
      <c r="C36" s="6" t="str">
        <f t="shared" si="0"/>
        <v>Travel</v>
      </c>
      <c r="D36" s="6" t="s">
        <v>25</v>
      </c>
      <c r="E36" s="6" t="str">
        <f t="shared" si="1"/>
        <v>Bus</v>
      </c>
      <c r="F36" s="6" t="s">
        <v>24</v>
      </c>
      <c r="G36" s="6" t="str">
        <f t="shared" si="2"/>
        <v>College Bus</v>
      </c>
      <c r="H36" s="6">
        <v>40</v>
      </c>
      <c r="I36" s="6">
        <f t="shared" si="3"/>
        <v>40</v>
      </c>
      <c r="J36" s="6" t="s">
        <v>21</v>
      </c>
      <c r="K36" s="6" t="str">
        <f t="shared" si="4"/>
        <v>Cash</v>
      </c>
      <c r="L36" s="6" t="s">
        <v>13</v>
      </c>
      <c r="M36" s="6" t="str">
        <f t="shared" si="5"/>
        <v>Outside</v>
      </c>
      <c r="N36" s="6"/>
      <c r="O36" s="6" t="str">
        <f t="shared" si="6"/>
        <v>Not Specified</v>
      </c>
      <c r="P36" s="6" t="str">
        <f>TEXT(Table1[[#This Row],[Date]],"mmmm")</f>
        <v>November</v>
      </c>
      <c r="Q36" s="6">
        <f>YEAR(Table1[[#This Row],[Date]])</f>
        <v>2026</v>
      </c>
      <c r="R36" s="6" t="str">
        <f>TEXT(Table1[[#This Row],[Date]],"dddd")</f>
        <v>Sunday</v>
      </c>
      <c r="S36" s="6" t="str">
        <f>IF(WEEKDAY(Table1[[#This Row],[Date]],2)&gt;5,"Weekend","Weekday")</f>
        <v>Weekend</v>
      </c>
      <c r="T36" s="6" t="str">
        <f>IF(Table1[[#This Row],[Amount_Clean]]&gt;500,"High","Normal")</f>
        <v>Normal</v>
      </c>
      <c r="U36" s="6" t="str">
        <f>IF(LOWER(TRIM(Table1[[#This Row],[PaymentMode_Clean]]))="cash","Cash","Digital")</f>
        <v>Cash</v>
      </c>
      <c r="V36" s="6">
        <f>MONTH(Table1[[#This Row],[Date]])</f>
        <v>11</v>
      </c>
    </row>
    <row r="37" spans="1:22" ht="18" x14ac:dyDescent="0.35">
      <c r="A37" s="11">
        <f>DATE(2026, MONTH(Raw_Data!A37), DAY(Raw_Data!A37))</f>
        <v>46357</v>
      </c>
      <c r="B37" s="6" t="s">
        <v>27</v>
      </c>
      <c r="C37" s="6" t="str">
        <f t="shared" si="0"/>
        <v>Entertainment</v>
      </c>
      <c r="D37" s="6" t="s">
        <v>26</v>
      </c>
      <c r="E37" s="6" t="str">
        <f t="shared" si="1"/>
        <v>Movie</v>
      </c>
      <c r="F37" s="6"/>
      <c r="G37" s="6" t="str">
        <f t="shared" si="2"/>
        <v>Not Provided</v>
      </c>
      <c r="H37" s="7">
        <v>350</v>
      </c>
      <c r="I37" s="6">
        <f t="shared" si="3"/>
        <v>350</v>
      </c>
      <c r="J37" s="6" t="s">
        <v>23</v>
      </c>
      <c r="K37" s="6" t="str">
        <f t="shared" si="4"/>
        <v>Card</v>
      </c>
      <c r="L37" s="6" t="s">
        <v>22</v>
      </c>
      <c r="M37" s="6" t="str">
        <f t="shared" si="5"/>
        <v>Mall</v>
      </c>
      <c r="N37" s="6"/>
      <c r="O37" s="6" t="str">
        <f t="shared" si="6"/>
        <v>Not Specified</v>
      </c>
      <c r="P37" s="6" t="str">
        <f>TEXT(Table1[[#This Row],[Date]],"mmmm")</f>
        <v>December</v>
      </c>
      <c r="Q37" s="6">
        <f>YEAR(Table1[[#This Row],[Date]])</f>
        <v>2026</v>
      </c>
      <c r="R37" s="6" t="str">
        <f>TEXT(Table1[[#This Row],[Date]],"dddd")</f>
        <v>Tuesday</v>
      </c>
      <c r="S37" s="6" t="str">
        <f>IF(WEEKDAY(Table1[[#This Row],[Date]],2)&gt;5,"Weekend","Weekday")</f>
        <v>Weekday</v>
      </c>
      <c r="T37" s="6" t="str">
        <f>IF(Table1[[#This Row],[Amount_Clean]]&gt;500,"High","Normal")</f>
        <v>Normal</v>
      </c>
      <c r="U37" s="6" t="str">
        <f>IF(LOWER(TRIM(Table1[[#This Row],[PaymentMode_Clean]]))="cash","Cash","Digital")</f>
        <v>Digital</v>
      </c>
      <c r="V37" s="6">
        <f>MONTH(Table1[[#This Row],[Date]])</f>
        <v>12</v>
      </c>
    </row>
    <row r="38" spans="1:22" ht="18" x14ac:dyDescent="0.35">
      <c r="A38" s="11">
        <f>DATE(2026, MONTH(Raw_Data!A38), DAY(Raw_Data!A38))</f>
        <v>46023</v>
      </c>
      <c r="B38" s="6" t="s">
        <v>8</v>
      </c>
      <c r="C38" s="6" t="str">
        <f t="shared" si="0"/>
        <v>Food</v>
      </c>
      <c r="D38" s="6" t="s">
        <v>9</v>
      </c>
      <c r="E38" s="6" t="str">
        <f t="shared" si="1"/>
        <v>Lunch</v>
      </c>
      <c r="F38" s="6" t="s">
        <v>10</v>
      </c>
      <c r="G38" s="6" t="str">
        <f t="shared" si="2"/>
        <v>Canteen</v>
      </c>
      <c r="H38" s="6" t="s">
        <v>11</v>
      </c>
      <c r="I38" s="6">
        <f t="shared" si="3"/>
        <v>200</v>
      </c>
      <c r="J38" s="6" t="s">
        <v>12</v>
      </c>
      <c r="K38" s="6" t="str">
        <f t="shared" si="4"/>
        <v>UPI</v>
      </c>
      <c r="L38" s="6" t="s">
        <v>13</v>
      </c>
      <c r="M38" s="6" t="str">
        <f t="shared" si="5"/>
        <v>Outside</v>
      </c>
      <c r="N38" s="6"/>
      <c r="O38" s="6" t="str">
        <f t="shared" si="6"/>
        <v>Not Specified</v>
      </c>
      <c r="P38" s="6" t="str">
        <f>TEXT(Table1[[#This Row],[Date]],"mmmm")</f>
        <v>January</v>
      </c>
      <c r="Q38" s="6">
        <f>YEAR(Table1[[#This Row],[Date]])</f>
        <v>2026</v>
      </c>
      <c r="R38" s="6" t="str">
        <f>TEXT(Table1[[#This Row],[Date]],"dddd")</f>
        <v>Thursday</v>
      </c>
      <c r="S38" s="6" t="str">
        <f>IF(WEEKDAY(Table1[[#This Row],[Date]],2)&gt;5,"Weekend","Weekday")</f>
        <v>Weekday</v>
      </c>
      <c r="T38" s="6" t="str">
        <f>IF(Table1[[#This Row],[Amount_Clean]]&gt;500,"High","Normal")</f>
        <v>Normal</v>
      </c>
      <c r="U38" s="6" t="str">
        <f>IF(LOWER(TRIM(Table1[[#This Row],[PaymentMode_Clean]]))="cash","Cash","Digital")</f>
        <v>Digital</v>
      </c>
      <c r="V38" s="6">
        <f>MONTH(Table1[[#This Row],[Date]])</f>
        <v>1</v>
      </c>
    </row>
    <row r="39" spans="1:22" ht="18" x14ac:dyDescent="0.35">
      <c r="A39" s="11">
        <f>DATE(2026, MONTH(Raw_Data!A39), DAY(Raw_Data!A39))</f>
        <v>46054</v>
      </c>
      <c r="B39" s="6" t="s">
        <v>15</v>
      </c>
      <c r="C39" s="6" t="str">
        <f t="shared" si="0"/>
        <v>Food</v>
      </c>
      <c r="D39" s="6" t="s">
        <v>16</v>
      </c>
      <c r="E39" s="6" t="str">
        <f t="shared" si="1"/>
        <v>Dinner</v>
      </c>
      <c r="F39" s="6" t="s">
        <v>17</v>
      </c>
      <c r="G39" s="6" t="str">
        <f t="shared" si="2"/>
        <v>Zomato</v>
      </c>
      <c r="H39" s="6" t="s">
        <v>18</v>
      </c>
      <c r="I39" s="6">
        <f t="shared" si="3"/>
        <v>280</v>
      </c>
      <c r="J39" s="6" t="s">
        <v>19</v>
      </c>
      <c r="K39" s="6" t="str">
        <f t="shared" si="4"/>
        <v>UPI</v>
      </c>
      <c r="L39" s="6" t="s">
        <v>20</v>
      </c>
      <c r="M39" s="6" t="str">
        <f t="shared" si="5"/>
        <v>Home</v>
      </c>
      <c r="N39" s="6" t="s">
        <v>14</v>
      </c>
      <c r="O39" s="6" t="str">
        <f t="shared" si="6"/>
        <v>Late</v>
      </c>
      <c r="P39" s="6" t="str">
        <f>TEXT(Table1[[#This Row],[Date]],"mmmm")</f>
        <v>February</v>
      </c>
      <c r="Q39" s="6">
        <f>YEAR(Table1[[#This Row],[Date]])</f>
        <v>2026</v>
      </c>
      <c r="R39" s="6" t="str">
        <f>TEXT(Table1[[#This Row],[Date]],"dddd")</f>
        <v>Sunday</v>
      </c>
      <c r="S39" s="6" t="str">
        <f>IF(WEEKDAY(Table1[[#This Row],[Date]],2)&gt;5,"Weekend","Weekday")</f>
        <v>Weekend</v>
      </c>
      <c r="T39" s="6" t="str">
        <f>IF(Table1[[#This Row],[Amount_Clean]]&gt;500,"High","Normal")</f>
        <v>Normal</v>
      </c>
      <c r="U39" s="6" t="str">
        <f>IF(LOWER(TRIM(Table1[[#This Row],[PaymentMode_Clean]]))="cash","Cash","Digital")</f>
        <v>Digital</v>
      </c>
      <c r="V39" s="6">
        <f>MONTH(Table1[[#This Row],[Date]])</f>
        <v>2</v>
      </c>
    </row>
    <row r="40" spans="1:22" ht="18" x14ac:dyDescent="0.35">
      <c r="A40" s="11">
        <f>DATE(2026, MONTH(Raw_Data!A40), DAY(Raw_Data!A40))</f>
        <v>46082</v>
      </c>
      <c r="B40" s="6" t="s">
        <v>15</v>
      </c>
      <c r="C40" s="6" t="str">
        <f t="shared" si="0"/>
        <v>Food</v>
      </c>
      <c r="D40" s="6"/>
      <c r="E40" s="6" t="str">
        <f t="shared" si="1"/>
        <v>Not Specified</v>
      </c>
      <c r="F40" s="6"/>
      <c r="G40" s="6" t="str">
        <f t="shared" si="2"/>
        <v>Not Provided</v>
      </c>
      <c r="H40" s="6">
        <v>90</v>
      </c>
      <c r="I40" s="6">
        <f t="shared" si="3"/>
        <v>90</v>
      </c>
      <c r="J40" s="6" t="s">
        <v>21</v>
      </c>
      <c r="K40" s="6" t="str">
        <f t="shared" si="4"/>
        <v>Cash</v>
      </c>
      <c r="L40" s="6" t="s">
        <v>13</v>
      </c>
      <c r="M40" s="6" t="str">
        <f t="shared" si="5"/>
        <v>Outside</v>
      </c>
      <c r="N40" s="6"/>
      <c r="O40" s="6" t="str">
        <f t="shared" si="6"/>
        <v>Not Specified</v>
      </c>
      <c r="P40" s="6" t="str">
        <f>TEXT(Table1[[#This Row],[Date]],"mmmm")</f>
        <v>March</v>
      </c>
      <c r="Q40" s="6">
        <f>YEAR(Table1[[#This Row],[Date]])</f>
        <v>2026</v>
      </c>
      <c r="R40" s="6" t="str">
        <f>TEXT(Table1[[#This Row],[Date]],"dddd")</f>
        <v>Sunday</v>
      </c>
      <c r="S40" s="6" t="str">
        <f>IF(WEEKDAY(Table1[[#This Row],[Date]],2)&gt;5,"Weekend","Weekday")</f>
        <v>Weekend</v>
      </c>
      <c r="T40" s="6" t="str">
        <f>IF(Table1[[#This Row],[Amount_Clean]]&gt;500,"High","Normal")</f>
        <v>Normal</v>
      </c>
      <c r="U40" s="6" t="str">
        <f>IF(LOWER(TRIM(Table1[[#This Row],[PaymentMode_Clean]]))="cash","Cash","Digital")</f>
        <v>Cash</v>
      </c>
      <c r="V40" s="6">
        <f>MONTH(Table1[[#This Row],[Date]])</f>
        <v>3</v>
      </c>
    </row>
    <row r="41" spans="1:22" ht="18" x14ac:dyDescent="0.35">
      <c r="A41" s="11">
        <f>DATE(2026, MONTH(Raw_Data!A41), DAY(Raw_Data!A41))</f>
        <v>46113</v>
      </c>
      <c r="B41" s="6" t="s">
        <v>15</v>
      </c>
      <c r="C41" s="6" t="str">
        <f t="shared" si="0"/>
        <v>Food</v>
      </c>
      <c r="D41" s="6" t="s">
        <v>16</v>
      </c>
      <c r="E41" s="6" t="str">
        <f t="shared" si="1"/>
        <v>Dinner</v>
      </c>
      <c r="F41" s="6" t="s">
        <v>17</v>
      </c>
      <c r="G41" s="6" t="str">
        <f t="shared" si="2"/>
        <v>Zomato</v>
      </c>
      <c r="H41" s="6" t="s">
        <v>18</v>
      </c>
      <c r="I41" s="6">
        <f t="shared" si="3"/>
        <v>280</v>
      </c>
      <c r="J41" s="6" t="s">
        <v>19</v>
      </c>
      <c r="K41" s="6" t="str">
        <f t="shared" si="4"/>
        <v>UPI</v>
      </c>
      <c r="L41" s="6" t="s">
        <v>20</v>
      </c>
      <c r="M41" s="6" t="str">
        <f t="shared" si="5"/>
        <v>Home</v>
      </c>
      <c r="N41" s="6" t="s">
        <v>14</v>
      </c>
      <c r="O41" s="6" t="str">
        <f t="shared" si="6"/>
        <v>Late</v>
      </c>
      <c r="P41" s="6" t="str">
        <f>TEXT(Table1[[#This Row],[Date]],"mmmm")</f>
        <v>April</v>
      </c>
      <c r="Q41" s="6">
        <f>YEAR(Table1[[#This Row],[Date]])</f>
        <v>2026</v>
      </c>
      <c r="R41" s="6" t="str">
        <f>TEXT(Table1[[#This Row],[Date]],"dddd")</f>
        <v>Wednesday</v>
      </c>
      <c r="S41" s="6" t="str">
        <f>IF(WEEKDAY(Table1[[#This Row],[Date]],2)&gt;5,"Weekend","Weekday")</f>
        <v>Weekday</v>
      </c>
      <c r="T41" s="6" t="str">
        <f>IF(Table1[[#This Row],[Amount_Clean]]&gt;500,"High","Normal")</f>
        <v>Normal</v>
      </c>
      <c r="U41" s="6" t="str">
        <f>IF(LOWER(TRIM(Table1[[#This Row],[PaymentMode_Clean]]))="cash","Cash","Digital")</f>
        <v>Digital</v>
      </c>
      <c r="V41" s="6">
        <f>MONTH(Table1[[#This Row],[Date]])</f>
        <v>4</v>
      </c>
    </row>
    <row r="42" spans="1:22" ht="18" x14ac:dyDescent="0.35">
      <c r="A42" s="11">
        <f>DATE(2026, MONTH(Raw_Data!A42), DAY(Raw_Data!A42))</f>
        <v>46143</v>
      </c>
      <c r="B42" s="6" t="s">
        <v>15</v>
      </c>
      <c r="C42" s="6" t="str">
        <f t="shared" si="0"/>
        <v>Food</v>
      </c>
      <c r="D42" s="6"/>
      <c r="E42" s="6" t="str">
        <f t="shared" si="1"/>
        <v>Not Specified</v>
      </c>
      <c r="F42" s="6"/>
      <c r="G42" s="6" t="str">
        <f t="shared" si="2"/>
        <v>Not Provided</v>
      </c>
      <c r="H42" s="6">
        <v>90</v>
      </c>
      <c r="I42" s="6">
        <f t="shared" si="3"/>
        <v>90</v>
      </c>
      <c r="J42" s="6" t="s">
        <v>21</v>
      </c>
      <c r="K42" s="6" t="str">
        <f t="shared" si="4"/>
        <v>Cash</v>
      </c>
      <c r="L42" s="6" t="s">
        <v>13</v>
      </c>
      <c r="M42" s="6" t="str">
        <f t="shared" si="5"/>
        <v>Outside</v>
      </c>
      <c r="N42" s="6"/>
      <c r="O42" s="6" t="str">
        <f t="shared" si="6"/>
        <v>Not Specified</v>
      </c>
      <c r="P42" s="6" t="str">
        <f>TEXT(Table1[[#This Row],[Date]],"mmmm")</f>
        <v>May</v>
      </c>
      <c r="Q42" s="6">
        <f>YEAR(Table1[[#This Row],[Date]])</f>
        <v>2026</v>
      </c>
      <c r="R42" s="6" t="str">
        <f>TEXT(Table1[[#This Row],[Date]],"dddd")</f>
        <v>Friday</v>
      </c>
      <c r="S42" s="6" t="str">
        <f>IF(WEEKDAY(Table1[[#This Row],[Date]],2)&gt;5,"Weekend","Weekday")</f>
        <v>Weekday</v>
      </c>
      <c r="T42" s="6" t="str">
        <f>IF(Table1[[#This Row],[Amount_Clean]]&gt;500,"High","Normal")</f>
        <v>Normal</v>
      </c>
      <c r="U42" s="6" t="str">
        <f>IF(LOWER(TRIM(Table1[[#This Row],[PaymentMode_Clean]]))="cash","Cash","Digital")</f>
        <v>Cash</v>
      </c>
      <c r="V42" s="6">
        <f>MONTH(Table1[[#This Row],[Date]])</f>
        <v>5</v>
      </c>
    </row>
    <row r="43" spans="1:22" ht="18" x14ac:dyDescent="0.35">
      <c r="A43" s="11">
        <f>DATE(2026, MONTH(Raw_Data!A43), DAY(Raw_Data!A43))</f>
        <v>46174</v>
      </c>
      <c r="B43" s="6" t="s">
        <v>28</v>
      </c>
      <c r="C43" s="6" t="str">
        <f t="shared" si="0"/>
        <v>Travel</v>
      </c>
      <c r="D43" s="6" t="s">
        <v>25</v>
      </c>
      <c r="E43" s="6" t="str">
        <f t="shared" si="1"/>
        <v>Bus</v>
      </c>
      <c r="F43" s="6" t="s">
        <v>24</v>
      </c>
      <c r="G43" s="6" t="str">
        <f t="shared" si="2"/>
        <v>College Bus</v>
      </c>
      <c r="H43" s="6">
        <v>40</v>
      </c>
      <c r="I43" s="6">
        <f t="shared" si="3"/>
        <v>40</v>
      </c>
      <c r="J43" s="6" t="s">
        <v>21</v>
      </c>
      <c r="K43" s="6" t="str">
        <f t="shared" si="4"/>
        <v>Cash</v>
      </c>
      <c r="L43" s="6" t="s">
        <v>13</v>
      </c>
      <c r="M43" s="6" t="str">
        <f t="shared" si="5"/>
        <v>Outside</v>
      </c>
      <c r="N43" s="6"/>
      <c r="O43" s="6" t="str">
        <f t="shared" si="6"/>
        <v>Not Specified</v>
      </c>
      <c r="P43" s="6" t="str">
        <f>TEXT(Table1[[#This Row],[Date]],"mmmm")</f>
        <v>June</v>
      </c>
      <c r="Q43" s="6">
        <f>YEAR(Table1[[#This Row],[Date]])</f>
        <v>2026</v>
      </c>
      <c r="R43" s="6" t="str">
        <f>TEXT(Table1[[#This Row],[Date]],"dddd")</f>
        <v>Monday</v>
      </c>
      <c r="S43" s="6" t="str">
        <f>IF(WEEKDAY(Table1[[#This Row],[Date]],2)&gt;5,"Weekend","Weekday")</f>
        <v>Weekday</v>
      </c>
      <c r="T43" s="6" t="str">
        <f>IF(Table1[[#This Row],[Amount_Clean]]&gt;500,"High","Normal")</f>
        <v>Normal</v>
      </c>
      <c r="U43" s="6" t="str">
        <f>IF(LOWER(TRIM(Table1[[#This Row],[PaymentMode_Clean]]))="cash","Cash","Digital")</f>
        <v>Cash</v>
      </c>
      <c r="V43" s="6">
        <f>MONTH(Table1[[#This Row],[Date]])</f>
        <v>6</v>
      </c>
    </row>
    <row r="44" spans="1:22" ht="18" x14ac:dyDescent="0.35">
      <c r="A44" s="11">
        <f>DATE(2026, MONTH(Raw_Data!A44), DAY(Raw_Data!A44))</f>
        <v>46204</v>
      </c>
      <c r="B44" s="6" t="s">
        <v>15</v>
      </c>
      <c r="C44" s="6" t="str">
        <f t="shared" si="0"/>
        <v>Food</v>
      </c>
      <c r="D44" s="6"/>
      <c r="E44" s="6" t="str">
        <f t="shared" si="1"/>
        <v>Not Specified</v>
      </c>
      <c r="F44" s="6"/>
      <c r="G44" s="6" t="str">
        <f t="shared" si="2"/>
        <v>Not Provided</v>
      </c>
      <c r="H44" s="6">
        <v>90</v>
      </c>
      <c r="I44" s="6">
        <f t="shared" si="3"/>
        <v>90</v>
      </c>
      <c r="J44" s="6" t="s">
        <v>21</v>
      </c>
      <c r="K44" s="6" t="str">
        <f t="shared" si="4"/>
        <v>Cash</v>
      </c>
      <c r="L44" s="6" t="s">
        <v>13</v>
      </c>
      <c r="M44" s="6" t="str">
        <f t="shared" si="5"/>
        <v>Outside</v>
      </c>
      <c r="N44" s="6"/>
      <c r="O44" s="6" t="str">
        <f t="shared" si="6"/>
        <v>Not Specified</v>
      </c>
      <c r="P44" s="6" t="str">
        <f>TEXT(Table1[[#This Row],[Date]],"mmmm")</f>
        <v>July</v>
      </c>
      <c r="Q44" s="6">
        <f>YEAR(Table1[[#This Row],[Date]])</f>
        <v>2026</v>
      </c>
      <c r="R44" s="6" t="str">
        <f>TEXT(Table1[[#This Row],[Date]],"dddd")</f>
        <v>Wednesday</v>
      </c>
      <c r="S44" s="6" t="str">
        <f>IF(WEEKDAY(Table1[[#This Row],[Date]],2)&gt;5,"Weekend","Weekday")</f>
        <v>Weekday</v>
      </c>
      <c r="T44" s="6" t="str">
        <f>IF(Table1[[#This Row],[Amount_Clean]]&gt;500,"High","Normal")</f>
        <v>Normal</v>
      </c>
      <c r="U44" s="6" t="str">
        <f>IF(LOWER(TRIM(Table1[[#This Row],[PaymentMode_Clean]]))="cash","Cash","Digital")</f>
        <v>Cash</v>
      </c>
      <c r="V44" s="6">
        <f>MONTH(Table1[[#This Row],[Date]])</f>
        <v>7</v>
      </c>
    </row>
    <row r="45" spans="1:22" ht="18" x14ac:dyDescent="0.35">
      <c r="A45" s="11">
        <f>DATE(2026, MONTH(Raw_Data!A45), DAY(Raw_Data!A45))</f>
        <v>46235</v>
      </c>
      <c r="B45" s="6" t="s">
        <v>28</v>
      </c>
      <c r="C45" s="6" t="str">
        <f t="shared" si="0"/>
        <v>Travel</v>
      </c>
      <c r="D45" s="6" t="s">
        <v>25</v>
      </c>
      <c r="E45" s="6" t="str">
        <f t="shared" si="1"/>
        <v>Bus</v>
      </c>
      <c r="F45" s="6" t="s">
        <v>24</v>
      </c>
      <c r="G45" s="6" t="str">
        <f t="shared" si="2"/>
        <v>College Bus</v>
      </c>
      <c r="H45" s="6">
        <v>40</v>
      </c>
      <c r="I45" s="6">
        <f t="shared" si="3"/>
        <v>40</v>
      </c>
      <c r="J45" s="6" t="s">
        <v>21</v>
      </c>
      <c r="K45" s="6" t="str">
        <f t="shared" si="4"/>
        <v>Cash</v>
      </c>
      <c r="L45" s="6" t="s">
        <v>13</v>
      </c>
      <c r="M45" s="6" t="str">
        <f t="shared" si="5"/>
        <v>Outside</v>
      </c>
      <c r="N45" s="6"/>
      <c r="O45" s="6" t="str">
        <f t="shared" si="6"/>
        <v>Not Specified</v>
      </c>
      <c r="P45" s="6" t="str">
        <f>TEXT(Table1[[#This Row],[Date]],"mmmm")</f>
        <v>August</v>
      </c>
      <c r="Q45" s="6">
        <f>YEAR(Table1[[#This Row],[Date]])</f>
        <v>2026</v>
      </c>
      <c r="R45" s="6" t="str">
        <f>TEXT(Table1[[#This Row],[Date]],"dddd")</f>
        <v>Saturday</v>
      </c>
      <c r="S45" s="6" t="str">
        <f>IF(WEEKDAY(Table1[[#This Row],[Date]],2)&gt;5,"Weekend","Weekday")</f>
        <v>Weekend</v>
      </c>
      <c r="T45" s="6" t="str">
        <f>IF(Table1[[#This Row],[Amount_Clean]]&gt;500,"High","Normal")</f>
        <v>Normal</v>
      </c>
      <c r="U45" s="6" t="str">
        <f>IF(LOWER(TRIM(Table1[[#This Row],[PaymentMode_Clean]]))="cash","Cash","Digital")</f>
        <v>Cash</v>
      </c>
      <c r="V45" s="6">
        <f>MONTH(Table1[[#This Row],[Date]])</f>
        <v>8</v>
      </c>
    </row>
    <row r="46" spans="1:22" ht="18" x14ac:dyDescent="0.35">
      <c r="A46" s="11">
        <f>DATE(2026, MONTH(Raw_Data!A46), DAY(Raw_Data!A46))</f>
        <v>46266</v>
      </c>
      <c r="B46" s="6" t="s">
        <v>27</v>
      </c>
      <c r="C46" s="6" t="str">
        <f t="shared" si="0"/>
        <v>Entertainment</v>
      </c>
      <c r="D46" s="6" t="s">
        <v>26</v>
      </c>
      <c r="E46" s="6" t="str">
        <f t="shared" si="1"/>
        <v>Movie</v>
      </c>
      <c r="F46" s="6"/>
      <c r="G46" s="6" t="str">
        <f t="shared" si="2"/>
        <v>Not Provided</v>
      </c>
      <c r="H46" s="7">
        <v>350</v>
      </c>
      <c r="I46" s="6">
        <f t="shared" si="3"/>
        <v>350</v>
      </c>
      <c r="J46" s="6" t="s">
        <v>23</v>
      </c>
      <c r="K46" s="6" t="str">
        <f t="shared" si="4"/>
        <v>Card</v>
      </c>
      <c r="L46" s="6" t="s">
        <v>22</v>
      </c>
      <c r="M46" s="6" t="str">
        <f t="shared" si="5"/>
        <v>Mall</v>
      </c>
      <c r="N46" s="6"/>
      <c r="O46" s="6" t="str">
        <f t="shared" si="6"/>
        <v>Not Specified</v>
      </c>
      <c r="P46" s="6" t="str">
        <f>TEXT(Table1[[#This Row],[Date]],"mmmm")</f>
        <v>September</v>
      </c>
      <c r="Q46" s="6">
        <f>YEAR(Table1[[#This Row],[Date]])</f>
        <v>2026</v>
      </c>
      <c r="R46" s="6" t="str">
        <f>TEXT(Table1[[#This Row],[Date]],"dddd")</f>
        <v>Tuesday</v>
      </c>
      <c r="S46" s="6" t="str">
        <f>IF(WEEKDAY(Table1[[#This Row],[Date]],2)&gt;5,"Weekend","Weekday")</f>
        <v>Weekday</v>
      </c>
      <c r="T46" s="6" t="str">
        <f>IF(Table1[[#This Row],[Amount_Clean]]&gt;500,"High","Normal")</f>
        <v>Normal</v>
      </c>
      <c r="U46" s="6" t="str">
        <f>IF(LOWER(TRIM(Table1[[#This Row],[PaymentMode_Clean]]))="cash","Cash","Digital")</f>
        <v>Digital</v>
      </c>
      <c r="V46" s="6">
        <f>MONTH(Table1[[#This Row],[Date]])</f>
        <v>9</v>
      </c>
    </row>
    <row r="47" spans="1:22" ht="18" x14ac:dyDescent="0.35">
      <c r="A47" s="11">
        <f>DATE(2026, MONTH(Raw_Data!A47), DAY(Raw_Data!A47))</f>
        <v>46296</v>
      </c>
      <c r="B47" s="6" t="s">
        <v>8</v>
      </c>
      <c r="C47" s="6" t="str">
        <f t="shared" si="0"/>
        <v>Food</v>
      </c>
      <c r="D47" s="6" t="s">
        <v>9</v>
      </c>
      <c r="E47" s="6" t="str">
        <f t="shared" si="1"/>
        <v>Lunch</v>
      </c>
      <c r="F47" s="6" t="s">
        <v>10</v>
      </c>
      <c r="G47" s="6" t="str">
        <f t="shared" si="2"/>
        <v>Canteen</v>
      </c>
      <c r="H47" s="6" t="s">
        <v>11</v>
      </c>
      <c r="I47" s="6">
        <f t="shared" si="3"/>
        <v>200</v>
      </c>
      <c r="J47" s="6" t="s">
        <v>12</v>
      </c>
      <c r="K47" s="6" t="str">
        <f t="shared" si="4"/>
        <v>UPI</v>
      </c>
      <c r="L47" s="6" t="s">
        <v>13</v>
      </c>
      <c r="M47" s="6" t="str">
        <f t="shared" si="5"/>
        <v>Outside</v>
      </c>
      <c r="N47" s="6"/>
      <c r="O47" s="6" t="str">
        <f t="shared" si="6"/>
        <v>Not Specified</v>
      </c>
      <c r="P47" s="6" t="str">
        <f>TEXT(Table1[[#This Row],[Date]],"mmmm")</f>
        <v>October</v>
      </c>
      <c r="Q47" s="6">
        <f>YEAR(Table1[[#This Row],[Date]])</f>
        <v>2026</v>
      </c>
      <c r="R47" s="6" t="str">
        <f>TEXT(Table1[[#This Row],[Date]],"dddd")</f>
        <v>Thursday</v>
      </c>
      <c r="S47" s="6" t="str">
        <f>IF(WEEKDAY(Table1[[#This Row],[Date]],2)&gt;5,"Weekend","Weekday")</f>
        <v>Weekday</v>
      </c>
      <c r="T47" s="6" t="str">
        <f>IF(Table1[[#This Row],[Amount_Clean]]&gt;500,"High","Normal")</f>
        <v>Normal</v>
      </c>
      <c r="U47" s="6" t="str">
        <f>IF(LOWER(TRIM(Table1[[#This Row],[PaymentMode_Clean]]))="cash","Cash","Digital")</f>
        <v>Digital</v>
      </c>
      <c r="V47" s="6">
        <f>MONTH(Table1[[#This Row],[Date]])</f>
        <v>10</v>
      </c>
    </row>
    <row r="48" spans="1:22" ht="18" x14ac:dyDescent="0.35">
      <c r="A48" s="11">
        <f>DATE(2026, MONTH(Raw_Data!A48), DAY(Raw_Data!A48))</f>
        <v>46327</v>
      </c>
      <c r="B48" s="6" t="s">
        <v>15</v>
      </c>
      <c r="C48" s="6" t="str">
        <f t="shared" si="0"/>
        <v>Food</v>
      </c>
      <c r="D48" s="6" t="s">
        <v>16</v>
      </c>
      <c r="E48" s="6" t="str">
        <f t="shared" si="1"/>
        <v>Dinner</v>
      </c>
      <c r="F48" s="6" t="s">
        <v>17</v>
      </c>
      <c r="G48" s="6" t="str">
        <f t="shared" si="2"/>
        <v>Zomato</v>
      </c>
      <c r="H48" s="6" t="s">
        <v>18</v>
      </c>
      <c r="I48" s="6">
        <f t="shared" si="3"/>
        <v>280</v>
      </c>
      <c r="J48" s="6" t="s">
        <v>19</v>
      </c>
      <c r="K48" s="6" t="str">
        <f t="shared" si="4"/>
        <v>UPI</v>
      </c>
      <c r="L48" s="6" t="s">
        <v>20</v>
      </c>
      <c r="M48" s="6" t="str">
        <f t="shared" si="5"/>
        <v>Home</v>
      </c>
      <c r="N48" s="6" t="s">
        <v>14</v>
      </c>
      <c r="O48" s="6" t="str">
        <f t="shared" si="6"/>
        <v>Late</v>
      </c>
      <c r="P48" s="6" t="str">
        <f>TEXT(Table1[[#This Row],[Date]],"mmmm")</f>
        <v>November</v>
      </c>
      <c r="Q48" s="6">
        <f>YEAR(Table1[[#This Row],[Date]])</f>
        <v>2026</v>
      </c>
      <c r="R48" s="6" t="str">
        <f>TEXT(Table1[[#This Row],[Date]],"dddd")</f>
        <v>Sunday</v>
      </c>
      <c r="S48" s="6" t="str">
        <f>IF(WEEKDAY(Table1[[#This Row],[Date]],2)&gt;5,"Weekend","Weekday")</f>
        <v>Weekend</v>
      </c>
      <c r="T48" s="6" t="str">
        <f>IF(Table1[[#This Row],[Amount_Clean]]&gt;500,"High","Normal")</f>
        <v>Normal</v>
      </c>
      <c r="U48" s="6" t="str">
        <f>IF(LOWER(TRIM(Table1[[#This Row],[PaymentMode_Clean]]))="cash","Cash","Digital")</f>
        <v>Digital</v>
      </c>
      <c r="V48" s="6">
        <f>MONTH(Table1[[#This Row],[Date]])</f>
        <v>11</v>
      </c>
    </row>
    <row r="49" spans="1:22" ht="18" x14ac:dyDescent="0.35">
      <c r="A49" s="11">
        <f>DATE(2026, MONTH(Raw_Data!A49), DAY(Raw_Data!A49))</f>
        <v>46357</v>
      </c>
      <c r="B49" s="6" t="s">
        <v>15</v>
      </c>
      <c r="C49" s="6" t="str">
        <f t="shared" si="0"/>
        <v>Food</v>
      </c>
      <c r="D49" s="6"/>
      <c r="E49" s="6" t="str">
        <f t="shared" si="1"/>
        <v>Not Specified</v>
      </c>
      <c r="F49" s="6"/>
      <c r="G49" s="6" t="str">
        <f t="shared" si="2"/>
        <v>Not Provided</v>
      </c>
      <c r="H49" s="6">
        <v>90</v>
      </c>
      <c r="I49" s="6">
        <f t="shared" si="3"/>
        <v>90</v>
      </c>
      <c r="J49" s="6" t="s">
        <v>21</v>
      </c>
      <c r="K49" s="6" t="str">
        <f t="shared" si="4"/>
        <v>Cash</v>
      </c>
      <c r="L49" s="6" t="s">
        <v>13</v>
      </c>
      <c r="M49" s="6" t="str">
        <f t="shared" si="5"/>
        <v>Outside</v>
      </c>
      <c r="N49" s="6"/>
      <c r="O49" s="6" t="str">
        <f t="shared" si="6"/>
        <v>Not Specified</v>
      </c>
      <c r="P49" s="6" t="str">
        <f>TEXT(Table1[[#This Row],[Date]],"mmmm")</f>
        <v>December</v>
      </c>
      <c r="Q49" s="6">
        <f>YEAR(Table1[[#This Row],[Date]])</f>
        <v>2026</v>
      </c>
      <c r="R49" s="6" t="str">
        <f>TEXT(Table1[[#This Row],[Date]],"dddd")</f>
        <v>Tuesday</v>
      </c>
      <c r="S49" s="6" t="str">
        <f>IF(WEEKDAY(Table1[[#This Row],[Date]],2)&gt;5,"Weekend","Weekday")</f>
        <v>Weekday</v>
      </c>
      <c r="T49" s="6" t="str">
        <f>IF(Table1[[#This Row],[Amount_Clean]]&gt;500,"High","Normal")</f>
        <v>Normal</v>
      </c>
      <c r="U49" s="6" t="str">
        <f>IF(LOWER(TRIM(Table1[[#This Row],[PaymentMode_Clean]]))="cash","Cash","Digital")</f>
        <v>Cash</v>
      </c>
      <c r="V49" s="6">
        <f>MONTH(Table1[[#This Row],[Date]])</f>
        <v>12</v>
      </c>
    </row>
    <row r="50" spans="1:22" ht="18" x14ac:dyDescent="0.35">
      <c r="A50" s="11">
        <f>DATE(2026, MONTH(Raw_Data!A50), DAY(Raw_Data!A50))</f>
        <v>46023</v>
      </c>
      <c r="B50" s="6" t="s">
        <v>15</v>
      </c>
      <c r="C50" s="6" t="str">
        <f t="shared" si="0"/>
        <v>Food</v>
      </c>
      <c r="D50" s="6" t="s">
        <v>16</v>
      </c>
      <c r="E50" s="6" t="str">
        <f t="shared" si="1"/>
        <v>Dinner</v>
      </c>
      <c r="F50" s="6" t="s">
        <v>17</v>
      </c>
      <c r="G50" s="6" t="str">
        <f t="shared" si="2"/>
        <v>Zomato</v>
      </c>
      <c r="H50" s="6" t="s">
        <v>18</v>
      </c>
      <c r="I50" s="6">
        <f t="shared" si="3"/>
        <v>280</v>
      </c>
      <c r="J50" s="6" t="s">
        <v>19</v>
      </c>
      <c r="K50" s="6" t="str">
        <f t="shared" si="4"/>
        <v>UPI</v>
      </c>
      <c r="L50" s="6" t="s">
        <v>20</v>
      </c>
      <c r="M50" s="6" t="str">
        <f t="shared" si="5"/>
        <v>Home</v>
      </c>
      <c r="N50" s="6" t="s">
        <v>14</v>
      </c>
      <c r="O50" s="6" t="str">
        <f t="shared" si="6"/>
        <v>Late</v>
      </c>
      <c r="P50" s="6" t="str">
        <f>TEXT(Table1[[#This Row],[Date]],"mmmm")</f>
        <v>January</v>
      </c>
      <c r="Q50" s="6">
        <f>YEAR(Table1[[#This Row],[Date]])</f>
        <v>2026</v>
      </c>
      <c r="R50" s="6" t="str">
        <f>TEXT(Table1[[#This Row],[Date]],"dddd")</f>
        <v>Thursday</v>
      </c>
      <c r="S50" s="6" t="str">
        <f>IF(WEEKDAY(Table1[[#This Row],[Date]],2)&gt;5,"Weekend","Weekday")</f>
        <v>Weekday</v>
      </c>
      <c r="T50" s="6" t="str">
        <f>IF(Table1[[#This Row],[Amount_Clean]]&gt;500,"High","Normal")</f>
        <v>Normal</v>
      </c>
      <c r="U50" s="6" t="str">
        <f>IF(LOWER(TRIM(Table1[[#This Row],[PaymentMode_Clean]]))="cash","Cash","Digital")</f>
        <v>Digital</v>
      </c>
      <c r="V50" s="6">
        <f>MONTH(Table1[[#This Row],[Date]])</f>
        <v>1</v>
      </c>
    </row>
    <row r="51" spans="1:22" ht="18" x14ac:dyDescent="0.35">
      <c r="A51" s="11">
        <f>DATE(2026, MONTH(Raw_Data!A51), DAY(Raw_Data!A51))</f>
        <v>46054</v>
      </c>
      <c r="B51" s="6" t="s">
        <v>15</v>
      </c>
      <c r="C51" s="6" t="str">
        <f t="shared" si="0"/>
        <v>Food</v>
      </c>
      <c r="D51" s="6"/>
      <c r="E51" s="6" t="str">
        <f t="shared" si="1"/>
        <v>Not Specified</v>
      </c>
      <c r="F51" s="6"/>
      <c r="G51" s="6" t="str">
        <f t="shared" si="2"/>
        <v>Not Provided</v>
      </c>
      <c r="H51" s="6">
        <v>90</v>
      </c>
      <c r="I51" s="6">
        <f t="shared" si="3"/>
        <v>90</v>
      </c>
      <c r="J51" s="6" t="s">
        <v>21</v>
      </c>
      <c r="K51" s="6" t="str">
        <f t="shared" si="4"/>
        <v>Cash</v>
      </c>
      <c r="L51" s="6" t="s">
        <v>13</v>
      </c>
      <c r="M51" s="6" t="str">
        <f t="shared" si="5"/>
        <v>Outside</v>
      </c>
      <c r="N51" s="6"/>
      <c r="O51" s="6" t="str">
        <f t="shared" si="6"/>
        <v>Not Specified</v>
      </c>
      <c r="P51" s="6" t="str">
        <f>TEXT(Table1[[#This Row],[Date]],"mmmm")</f>
        <v>February</v>
      </c>
      <c r="Q51" s="6">
        <f>YEAR(Table1[[#This Row],[Date]])</f>
        <v>2026</v>
      </c>
      <c r="R51" s="6" t="str">
        <f>TEXT(Table1[[#This Row],[Date]],"dddd")</f>
        <v>Sunday</v>
      </c>
      <c r="S51" s="6" t="str">
        <f>IF(WEEKDAY(Table1[[#This Row],[Date]],2)&gt;5,"Weekend","Weekday")</f>
        <v>Weekend</v>
      </c>
      <c r="T51" s="6" t="str">
        <f>IF(Table1[[#This Row],[Amount_Clean]]&gt;500,"High","Normal")</f>
        <v>Normal</v>
      </c>
      <c r="U51" s="6" t="str">
        <f>IF(LOWER(TRIM(Table1[[#This Row],[PaymentMode_Clean]]))="cash","Cash","Digital")</f>
        <v>Cash</v>
      </c>
      <c r="V51" s="6">
        <f>MONTH(Table1[[#This Row],[Date]])</f>
        <v>2</v>
      </c>
    </row>
    <row r="52" spans="1:22" ht="18" x14ac:dyDescent="0.35">
      <c r="A52" s="11">
        <f>DATE(2026, MONTH(Raw_Data!A52), DAY(Raw_Data!A52))</f>
        <v>46082</v>
      </c>
      <c r="B52" s="6" t="s">
        <v>15</v>
      </c>
      <c r="C52" s="6" t="str">
        <f t="shared" si="0"/>
        <v>Food</v>
      </c>
      <c r="D52" s="6"/>
      <c r="E52" s="6" t="str">
        <f t="shared" si="1"/>
        <v>Not Specified</v>
      </c>
      <c r="F52" s="6"/>
      <c r="G52" s="6" t="str">
        <f t="shared" si="2"/>
        <v>Not Provided</v>
      </c>
      <c r="H52" s="6">
        <v>90</v>
      </c>
      <c r="I52" s="6">
        <f t="shared" si="3"/>
        <v>90</v>
      </c>
      <c r="J52" s="6" t="s">
        <v>21</v>
      </c>
      <c r="K52" s="6" t="str">
        <f t="shared" si="4"/>
        <v>Cash</v>
      </c>
      <c r="L52" s="6" t="s">
        <v>13</v>
      </c>
      <c r="M52" s="6" t="str">
        <f t="shared" si="5"/>
        <v>Outside</v>
      </c>
      <c r="N52" s="6"/>
      <c r="O52" s="6" t="str">
        <f t="shared" si="6"/>
        <v>Not Specified</v>
      </c>
      <c r="P52" s="6" t="str">
        <f>TEXT(Table1[[#This Row],[Date]],"mmmm")</f>
        <v>March</v>
      </c>
      <c r="Q52" s="6">
        <f>YEAR(Table1[[#This Row],[Date]])</f>
        <v>2026</v>
      </c>
      <c r="R52" s="6" t="str">
        <f>TEXT(Table1[[#This Row],[Date]],"dddd")</f>
        <v>Sunday</v>
      </c>
      <c r="S52" s="6" t="str">
        <f>IF(WEEKDAY(Table1[[#This Row],[Date]],2)&gt;5,"Weekend","Weekday")</f>
        <v>Weekend</v>
      </c>
      <c r="T52" s="6" t="str">
        <f>IF(Table1[[#This Row],[Amount_Clean]]&gt;500,"High","Normal")</f>
        <v>Normal</v>
      </c>
      <c r="U52" s="6" t="str">
        <f>IF(LOWER(TRIM(Table1[[#This Row],[PaymentMode_Clean]]))="cash","Cash","Digital")</f>
        <v>Cash</v>
      </c>
      <c r="V52" s="6">
        <f>MONTH(Table1[[#This Row],[Date]])</f>
        <v>3</v>
      </c>
    </row>
    <row r="53" spans="1:22" ht="18" x14ac:dyDescent="0.35">
      <c r="A53" s="11">
        <f>DATE(2026, MONTH(Raw_Data!A53), DAY(Raw_Data!A53))</f>
        <v>46113</v>
      </c>
      <c r="B53" s="6" t="s">
        <v>28</v>
      </c>
      <c r="C53" s="6" t="str">
        <f t="shared" si="0"/>
        <v>Travel</v>
      </c>
      <c r="D53" s="6" t="s">
        <v>25</v>
      </c>
      <c r="E53" s="6" t="str">
        <f t="shared" si="1"/>
        <v>Bus</v>
      </c>
      <c r="F53" s="6" t="s">
        <v>24</v>
      </c>
      <c r="G53" s="6" t="str">
        <f t="shared" si="2"/>
        <v>College Bus</v>
      </c>
      <c r="H53" s="6">
        <v>40</v>
      </c>
      <c r="I53" s="6">
        <f t="shared" si="3"/>
        <v>40</v>
      </c>
      <c r="J53" s="6" t="s">
        <v>21</v>
      </c>
      <c r="K53" s="6" t="str">
        <f t="shared" si="4"/>
        <v>Cash</v>
      </c>
      <c r="L53" s="6" t="s">
        <v>13</v>
      </c>
      <c r="M53" s="6" t="str">
        <f t="shared" si="5"/>
        <v>Outside</v>
      </c>
      <c r="N53" s="6"/>
      <c r="O53" s="6" t="str">
        <f t="shared" si="6"/>
        <v>Not Specified</v>
      </c>
      <c r="P53" s="6" t="str">
        <f>TEXT(Table1[[#This Row],[Date]],"mmmm")</f>
        <v>April</v>
      </c>
      <c r="Q53" s="6">
        <f>YEAR(Table1[[#This Row],[Date]])</f>
        <v>2026</v>
      </c>
      <c r="R53" s="6" t="str">
        <f>TEXT(Table1[[#This Row],[Date]],"dddd")</f>
        <v>Wednesday</v>
      </c>
      <c r="S53" s="6" t="str">
        <f>IF(WEEKDAY(Table1[[#This Row],[Date]],2)&gt;5,"Weekend","Weekday")</f>
        <v>Weekday</v>
      </c>
      <c r="T53" s="6" t="str">
        <f>IF(Table1[[#This Row],[Amount_Clean]]&gt;500,"High","Normal")</f>
        <v>Normal</v>
      </c>
      <c r="U53" s="6" t="str">
        <f>IF(LOWER(TRIM(Table1[[#This Row],[PaymentMode_Clean]]))="cash","Cash","Digital")</f>
        <v>Cash</v>
      </c>
      <c r="V53" s="6">
        <f>MONTH(Table1[[#This Row],[Date]])</f>
        <v>4</v>
      </c>
    </row>
    <row r="54" spans="1:22" ht="18" x14ac:dyDescent="0.35">
      <c r="A54" s="11">
        <f>DATE(2026, MONTH(Raw_Data!A54), DAY(Raw_Data!A54))</f>
        <v>46143</v>
      </c>
      <c r="B54" s="6" t="s">
        <v>27</v>
      </c>
      <c r="C54" s="6" t="str">
        <f t="shared" si="0"/>
        <v>Entertainment</v>
      </c>
      <c r="D54" s="6" t="s">
        <v>26</v>
      </c>
      <c r="E54" s="6" t="str">
        <f t="shared" si="1"/>
        <v>Movie</v>
      </c>
      <c r="F54" s="6"/>
      <c r="G54" s="6" t="str">
        <f t="shared" si="2"/>
        <v>Not Provided</v>
      </c>
      <c r="H54" s="7">
        <v>350</v>
      </c>
      <c r="I54" s="6">
        <f t="shared" si="3"/>
        <v>350</v>
      </c>
      <c r="J54" s="6" t="s">
        <v>23</v>
      </c>
      <c r="K54" s="6" t="str">
        <f t="shared" si="4"/>
        <v>Card</v>
      </c>
      <c r="L54" s="6" t="s">
        <v>22</v>
      </c>
      <c r="M54" s="6" t="str">
        <f t="shared" si="5"/>
        <v>Mall</v>
      </c>
      <c r="N54" s="6"/>
      <c r="O54" s="6" t="str">
        <f t="shared" si="6"/>
        <v>Not Specified</v>
      </c>
      <c r="P54" s="6" t="str">
        <f>TEXT(Table1[[#This Row],[Date]],"mmmm")</f>
        <v>May</v>
      </c>
      <c r="Q54" s="6">
        <f>YEAR(Table1[[#This Row],[Date]])</f>
        <v>2026</v>
      </c>
      <c r="R54" s="6" t="str">
        <f>TEXT(Table1[[#This Row],[Date]],"dddd")</f>
        <v>Friday</v>
      </c>
      <c r="S54" s="6" t="str">
        <f>IF(WEEKDAY(Table1[[#This Row],[Date]],2)&gt;5,"Weekend","Weekday")</f>
        <v>Weekday</v>
      </c>
      <c r="T54" s="6" t="str">
        <f>IF(Table1[[#This Row],[Amount_Clean]]&gt;500,"High","Normal")</f>
        <v>Normal</v>
      </c>
      <c r="U54" s="6" t="str">
        <f>IF(LOWER(TRIM(Table1[[#This Row],[PaymentMode_Clean]]))="cash","Cash","Digital")</f>
        <v>Digital</v>
      </c>
      <c r="V54" s="6">
        <f>MONTH(Table1[[#This Row],[Date]])</f>
        <v>5</v>
      </c>
    </row>
    <row r="55" spans="1:22" ht="18" x14ac:dyDescent="0.35">
      <c r="A55" s="11">
        <f>DATE(2026, MONTH(Raw_Data!A55), DAY(Raw_Data!A55))</f>
        <v>46174</v>
      </c>
      <c r="B55" s="6" t="s">
        <v>8</v>
      </c>
      <c r="C55" s="6" t="str">
        <f t="shared" si="0"/>
        <v>Food</v>
      </c>
      <c r="D55" s="6" t="s">
        <v>9</v>
      </c>
      <c r="E55" s="6" t="str">
        <f t="shared" si="1"/>
        <v>Lunch</v>
      </c>
      <c r="F55" s="6" t="s">
        <v>10</v>
      </c>
      <c r="G55" s="6" t="str">
        <f t="shared" si="2"/>
        <v>Canteen</v>
      </c>
      <c r="H55" s="6" t="s">
        <v>11</v>
      </c>
      <c r="I55" s="6">
        <f t="shared" si="3"/>
        <v>200</v>
      </c>
      <c r="J55" s="6" t="s">
        <v>12</v>
      </c>
      <c r="K55" s="6" t="str">
        <f t="shared" si="4"/>
        <v>UPI</v>
      </c>
      <c r="L55" s="6" t="s">
        <v>13</v>
      </c>
      <c r="M55" s="6" t="str">
        <f t="shared" si="5"/>
        <v>Outside</v>
      </c>
      <c r="N55" s="6"/>
      <c r="O55" s="6" t="str">
        <f t="shared" si="6"/>
        <v>Not Specified</v>
      </c>
      <c r="P55" s="6" t="str">
        <f>TEXT(Table1[[#This Row],[Date]],"mmmm")</f>
        <v>June</v>
      </c>
      <c r="Q55" s="6">
        <f>YEAR(Table1[[#This Row],[Date]])</f>
        <v>2026</v>
      </c>
      <c r="R55" s="6" t="str">
        <f>TEXT(Table1[[#This Row],[Date]],"dddd")</f>
        <v>Monday</v>
      </c>
      <c r="S55" s="6" t="str">
        <f>IF(WEEKDAY(Table1[[#This Row],[Date]],2)&gt;5,"Weekend","Weekday")</f>
        <v>Weekday</v>
      </c>
      <c r="T55" s="6" t="str">
        <f>IF(Table1[[#This Row],[Amount_Clean]]&gt;500,"High","Normal")</f>
        <v>Normal</v>
      </c>
      <c r="U55" s="6" t="str">
        <f>IF(LOWER(TRIM(Table1[[#This Row],[PaymentMode_Clean]]))="cash","Cash","Digital")</f>
        <v>Digital</v>
      </c>
      <c r="V55" s="6">
        <f>MONTH(Table1[[#This Row],[Date]])</f>
        <v>6</v>
      </c>
    </row>
    <row r="56" spans="1:22" ht="18" x14ac:dyDescent="0.35">
      <c r="A56" s="11">
        <f>DATE(2026, MONTH(Raw_Data!A56), DAY(Raw_Data!A56))</f>
        <v>46204</v>
      </c>
      <c r="B56" s="6" t="s">
        <v>15</v>
      </c>
      <c r="C56" s="6" t="str">
        <f t="shared" si="0"/>
        <v>Food</v>
      </c>
      <c r="D56" s="6" t="s">
        <v>16</v>
      </c>
      <c r="E56" s="6" t="str">
        <f t="shared" si="1"/>
        <v>Dinner</v>
      </c>
      <c r="F56" s="6" t="s">
        <v>17</v>
      </c>
      <c r="G56" s="6" t="str">
        <f t="shared" si="2"/>
        <v>Zomato</v>
      </c>
      <c r="H56" s="6" t="s">
        <v>18</v>
      </c>
      <c r="I56" s="6">
        <f t="shared" si="3"/>
        <v>280</v>
      </c>
      <c r="J56" s="6" t="s">
        <v>19</v>
      </c>
      <c r="K56" s="6" t="str">
        <f t="shared" si="4"/>
        <v>UPI</v>
      </c>
      <c r="L56" s="6" t="s">
        <v>20</v>
      </c>
      <c r="M56" s="6" t="str">
        <f t="shared" si="5"/>
        <v>Home</v>
      </c>
      <c r="N56" s="6" t="s">
        <v>14</v>
      </c>
      <c r="O56" s="6" t="str">
        <f t="shared" si="6"/>
        <v>Late</v>
      </c>
      <c r="P56" s="6" t="str">
        <f>TEXT(Table1[[#This Row],[Date]],"mmmm")</f>
        <v>July</v>
      </c>
      <c r="Q56" s="6">
        <f>YEAR(Table1[[#This Row],[Date]])</f>
        <v>2026</v>
      </c>
      <c r="R56" s="6" t="str">
        <f>TEXT(Table1[[#This Row],[Date]],"dddd")</f>
        <v>Wednesday</v>
      </c>
      <c r="S56" s="6" t="str">
        <f>IF(WEEKDAY(Table1[[#This Row],[Date]],2)&gt;5,"Weekend","Weekday")</f>
        <v>Weekday</v>
      </c>
      <c r="T56" s="6" t="str">
        <f>IF(Table1[[#This Row],[Amount_Clean]]&gt;500,"High","Normal")</f>
        <v>Normal</v>
      </c>
      <c r="U56" s="6" t="str">
        <f>IF(LOWER(TRIM(Table1[[#This Row],[PaymentMode_Clean]]))="cash","Cash","Digital")</f>
        <v>Digital</v>
      </c>
      <c r="V56" s="6">
        <f>MONTH(Table1[[#This Row],[Date]])</f>
        <v>7</v>
      </c>
    </row>
    <row r="57" spans="1:22" ht="18" x14ac:dyDescent="0.35">
      <c r="A57" s="11">
        <f>DATE(2026, MONTH(Raw_Data!A57), DAY(Raw_Data!A57))</f>
        <v>46235</v>
      </c>
      <c r="B57" s="6" t="s">
        <v>15</v>
      </c>
      <c r="C57" s="6" t="str">
        <f t="shared" si="0"/>
        <v>Food</v>
      </c>
      <c r="D57" s="6"/>
      <c r="E57" s="6" t="str">
        <f t="shared" si="1"/>
        <v>Not Specified</v>
      </c>
      <c r="F57" s="6"/>
      <c r="G57" s="6" t="str">
        <f t="shared" si="2"/>
        <v>Not Provided</v>
      </c>
      <c r="H57" s="6">
        <v>90</v>
      </c>
      <c r="I57" s="6">
        <f t="shared" si="3"/>
        <v>90</v>
      </c>
      <c r="J57" s="6" t="s">
        <v>21</v>
      </c>
      <c r="K57" s="6" t="str">
        <f t="shared" si="4"/>
        <v>Cash</v>
      </c>
      <c r="L57" s="6" t="s">
        <v>13</v>
      </c>
      <c r="M57" s="6" t="str">
        <f t="shared" si="5"/>
        <v>Outside</v>
      </c>
      <c r="N57" s="6"/>
      <c r="O57" s="6" t="str">
        <f t="shared" si="6"/>
        <v>Not Specified</v>
      </c>
      <c r="P57" s="6" t="str">
        <f>TEXT(Table1[[#This Row],[Date]],"mmmm")</f>
        <v>August</v>
      </c>
      <c r="Q57" s="6">
        <f>YEAR(Table1[[#This Row],[Date]])</f>
        <v>2026</v>
      </c>
      <c r="R57" s="6" t="str">
        <f>TEXT(Table1[[#This Row],[Date]],"dddd")</f>
        <v>Saturday</v>
      </c>
      <c r="S57" s="6" t="str">
        <f>IF(WEEKDAY(Table1[[#This Row],[Date]],2)&gt;5,"Weekend","Weekday")</f>
        <v>Weekend</v>
      </c>
      <c r="T57" s="6" t="str">
        <f>IF(Table1[[#This Row],[Amount_Clean]]&gt;500,"High","Normal")</f>
        <v>Normal</v>
      </c>
      <c r="U57" s="6" t="str">
        <f>IF(LOWER(TRIM(Table1[[#This Row],[PaymentMode_Clean]]))="cash","Cash","Digital")</f>
        <v>Cash</v>
      </c>
      <c r="V57" s="6">
        <f>MONTH(Table1[[#This Row],[Date]])</f>
        <v>8</v>
      </c>
    </row>
    <row r="58" spans="1:22" ht="18" x14ac:dyDescent="0.35">
      <c r="A58" s="11">
        <f>DATE(2026, MONTH(Raw_Data!A58), DAY(Raw_Data!A58))</f>
        <v>46266</v>
      </c>
      <c r="B58" s="6" t="s">
        <v>15</v>
      </c>
      <c r="C58" s="6" t="str">
        <f t="shared" si="0"/>
        <v>Food</v>
      </c>
      <c r="D58" s="6" t="s">
        <v>16</v>
      </c>
      <c r="E58" s="6" t="str">
        <f t="shared" si="1"/>
        <v>Dinner</v>
      </c>
      <c r="F58" s="6" t="s">
        <v>17</v>
      </c>
      <c r="G58" s="6" t="str">
        <f t="shared" si="2"/>
        <v>Zomato</v>
      </c>
      <c r="H58" s="6" t="s">
        <v>18</v>
      </c>
      <c r="I58" s="6">
        <f t="shared" si="3"/>
        <v>280</v>
      </c>
      <c r="J58" s="6" t="s">
        <v>19</v>
      </c>
      <c r="K58" s="6" t="str">
        <f t="shared" si="4"/>
        <v>UPI</v>
      </c>
      <c r="L58" s="6" t="s">
        <v>20</v>
      </c>
      <c r="M58" s="6" t="str">
        <f t="shared" si="5"/>
        <v>Home</v>
      </c>
      <c r="N58" s="6" t="s">
        <v>14</v>
      </c>
      <c r="O58" s="6" t="str">
        <f t="shared" si="6"/>
        <v>Late</v>
      </c>
      <c r="P58" s="6" t="str">
        <f>TEXT(Table1[[#This Row],[Date]],"mmmm")</f>
        <v>September</v>
      </c>
      <c r="Q58" s="6">
        <f>YEAR(Table1[[#This Row],[Date]])</f>
        <v>2026</v>
      </c>
      <c r="R58" s="6" t="str">
        <f>TEXT(Table1[[#This Row],[Date]],"dddd")</f>
        <v>Tuesday</v>
      </c>
      <c r="S58" s="6" t="str">
        <f>IF(WEEKDAY(Table1[[#This Row],[Date]],2)&gt;5,"Weekend","Weekday")</f>
        <v>Weekday</v>
      </c>
      <c r="T58" s="6" t="str">
        <f>IF(Table1[[#This Row],[Amount_Clean]]&gt;500,"High","Normal")</f>
        <v>Normal</v>
      </c>
      <c r="U58" s="6" t="str">
        <f>IF(LOWER(TRIM(Table1[[#This Row],[PaymentMode_Clean]]))="cash","Cash","Digital")</f>
        <v>Digital</v>
      </c>
      <c r="V58" s="6">
        <f>MONTH(Table1[[#This Row],[Date]])</f>
        <v>9</v>
      </c>
    </row>
    <row r="59" spans="1:22" ht="18" x14ac:dyDescent="0.35">
      <c r="A59" s="11">
        <f>DATE(2026, MONTH(Raw_Data!A59), DAY(Raw_Data!A59))</f>
        <v>46296</v>
      </c>
      <c r="B59" s="6" t="s">
        <v>15</v>
      </c>
      <c r="C59" s="6" t="str">
        <f t="shared" si="0"/>
        <v>Food</v>
      </c>
      <c r="D59" s="6"/>
      <c r="E59" s="6" t="str">
        <f t="shared" si="1"/>
        <v>Not Specified</v>
      </c>
      <c r="F59" s="6"/>
      <c r="G59" s="6" t="str">
        <f t="shared" si="2"/>
        <v>Not Provided</v>
      </c>
      <c r="H59" s="6">
        <v>90</v>
      </c>
      <c r="I59" s="6">
        <f t="shared" si="3"/>
        <v>90</v>
      </c>
      <c r="J59" s="6" t="s">
        <v>21</v>
      </c>
      <c r="K59" s="6" t="str">
        <f t="shared" si="4"/>
        <v>Cash</v>
      </c>
      <c r="L59" s="6" t="s">
        <v>13</v>
      </c>
      <c r="M59" s="6" t="str">
        <f t="shared" si="5"/>
        <v>Outside</v>
      </c>
      <c r="N59" s="6"/>
      <c r="O59" s="6" t="str">
        <f t="shared" si="6"/>
        <v>Not Specified</v>
      </c>
      <c r="P59" s="6" t="str">
        <f>TEXT(Table1[[#This Row],[Date]],"mmmm")</f>
        <v>October</v>
      </c>
      <c r="Q59" s="6">
        <f>YEAR(Table1[[#This Row],[Date]])</f>
        <v>2026</v>
      </c>
      <c r="R59" s="6" t="str">
        <f>TEXT(Table1[[#This Row],[Date]],"dddd")</f>
        <v>Thursday</v>
      </c>
      <c r="S59" s="6" t="str">
        <f>IF(WEEKDAY(Table1[[#This Row],[Date]],2)&gt;5,"Weekend","Weekday")</f>
        <v>Weekday</v>
      </c>
      <c r="T59" s="6" t="str">
        <f>IF(Table1[[#This Row],[Amount_Clean]]&gt;500,"High","Normal")</f>
        <v>Normal</v>
      </c>
      <c r="U59" s="6" t="str">
        <f>IF(LOWER(TRIM(Table1[[#This Row],[PaymentMode_Clean]]))="cash","Cash","Digital")</f>
        <v>Cash</v>
      </c>
      <c r="V59" s="6">
        <f>MONTH(Table1[[#This Row],[Date]])</f>
        <v>10</v>
      </c>
    </row>
    <row r="60" spans="1:22" ht="18" x14ac:dyDescent="0.35">
      <c r="A60" s="11">
        <f>DATE(2026, MONTH(Raw_Data!A60), DAY(Raw_Data!A60))</f>
        <v>46327</v>
      </c>
      <c r="B60" s="6" t="s">
        <v>15</v>
      </c>
      <c r="C60" s="6" t="str">
        <f t="shared" si="0"/>
        <v>Food</v>
      </c>
      <c r="D60" s="6"/>
      <c r="E60" s="6" t="str">
        <f t="shared" si="1"/>
        <v>Not Specified</v>
      </c>
      <c r="F60" s="6"/>
      <c r="G60" s="6" t="str">
        <f t="shared" si="2"/>
        <v>Not Provided</v>
      </c>
      <c r="H60" s="6">
        <v>90</v>
      </c>
      <c r="I60" s="6">
        <f t="shared" si="3"/>
        <v>90</v>
      </c>
      <c r="J60" s="6" t="s">
        <v>21</v>
      </c>
      <c r="K60" s="6" t="str">
        <f t="shared" si="4"/>
        <v>Cash</v>
      </c>
      <c r="L60" s="6" t="s">
        <v>13</v>
      </c>
      <c r="M60" s="6" t="str">
        <f t="shared" si="5"/>
        <v>Outside</v>
      </c>
      <c r="N60" s="6"/>
      <c r="O60" s="6" t="str">
        <f t="shared" si="6"/>
        <v>Not Specified</v>
      </c>
      <c r="P60" s="6" t="str">
        <f>TEXT(Table1[[#This Row],[Date]],"mmmm")</f>
        <v>November</v>
      </c>
      <c r="Q60" s="6">
        <f>YEAR(Table1[[#This Row],[Date]])</f>
        <v>2026</v>
      </c>
      <c r="R60" s="6" t="str">
        <f>TEXT(Table1[[#This Row],[Date]],"dddd")</f>
        <v>Sunday</v>
      </c>
      <c r="S60" s="6" t="str">
        <f>IF(WEEKDAY(Table1[[#This Row],[Date]],2)&gt;5,"Weekend","Weekday")</f>
        <v>Weekend</v>
      </c>
      <c r="T60" s="6" t="str">
        <f>IF(Table1[[#This Row],[Amount_Clean]]&gt;500,"High","Normal")</f>
        <v>Normal</v>
      </c>
      <c r="U60" s="6" t="str">
        <f>IF(LOWER(TRIM(Table1[[#This Row],[PaymentMode_Clean]]))="cash","Cash","Digital")</f>
        <v>Cash</v>
      </c>
      <c r="V60" s="6">
        <f>MONTH(Table1[[#This Row],[Date]])</f>
        <v>11</v>
      </c>
    </row>
    <row r="61" spans="1:22" ht="18" x14ac:dyDescent="0.35">
      <c r="A61" s="11">
        <f>DATE(2026, MONTH(Raw_Data!A61), DAY(Raw_Data!A61))</f>
        <v>46357</v>
      </c>
      <c r="B61" s="6" t="s">
        <v>28</v>
      </c>
      <c r="C61" s="6" t="str">
        <f t="shared" si="0"/>
        <v>Travel</v>
      </c>
      <c r="D61" s="6" t="s">
        <v>25</v>
      </c>
      <c r="E61" s="6" t="str">
        <f t="shared" si="1"/>
        <v>Bus</v>
      </c>
      <c r="F61" s="6" t="s">
        <v>24</v>
      </c>
      <c r="G61" s="6" t="str">
        <f t="shared" si="2"/>
        <v>College Bus</v>
      </c>
      <c r="H61" s="6">
        <v>40</v>
      </c>
      <c r="I61" s="6">
        <f t="shared" si="3"/>
        <v>40</v>
      </c>
      <c r="J61" s="6" t="s">
        <v>21</v>
      </c>
      <c r="K61" s="6" t="str">
        <f t="shared" si="4"/>
        <v>Cash</v>
      </c>
      <c r="L61" s="6" t="s">
        <v>13</v>
      </c>
      <c r="M61" s="6" t="str">
        <f t="shared" si="5"/>
        <v>Outside</v>
      </c>
      <c r="N61" s="6"/>
      <c r="O61" s="6" t="str">
        <f t="shared" si="6"/>
        <v>Not Specified</v>
      </c>
      <c r="P61" s="6" t="str">
        <f>TEXT(Table1[[#This Row],[Date]],"mmmm")</f>
        <v>December</v>
      </c>
      <c r="Q61" s="6">
        <f>YEAR(Table1[[#This Row],[Date]])</f>
        <v>2026</v>
      </c>
      <c r="R61" s="6" t="str">
        <f>TEXT(Table1[[#This Row],[Date]],"dddd")</f>
        <v>Tuesday</v>
      </c>
      <c r="S61" s="6" t="str">
        <f>IF(WEEKDAY(Table1[[#This Row],[Date]],2)&gt;5,"Weekend","Weekday")</f>
        <v>Weekday</v>
      </c>
      <c r="T61" s="6" t="str">
        <f>IF(Table1[[#This Row],[Amount_Clean]]&gt;500,"High","Normal")</f>
        <v>Normal</v>
      </c>
      <c r="U61" s="6" t="str">
        <f>IF(LOWER(TRIM(Table1[[#This Row],[PaymentMode_Clean]]))="cash","Cash","Digital")</f>
        <v>Cash</v>
      </c>
      <c r="V61" s="6">
        <f>MONTH(Table1[[#This Row],[Date]])</f>
        <v>12</v>
      </c>
    </row>
    <row r="62" spans="1:22" ht="18" x14ac:dyDescent="0.35">
      <c r="A62" s="11">
        <f>DATE(2026, MONTH(Raw_Data!A62), DAY(Raw_Data!A62))</f>
        <v>46023</v>
      </c>
      <c r="B62" s="6" t="s">
        <v>27</v>
      </c>
      <c r="C62" s="6" t="str">
        <f t="shared" si="0"/>
        <v>Entertainment</v>
      </c>
      <c r="D62" s="6" t="s">
        <v>26</v>
      </c>
      <c r="E62" s="6" t="str">
        <f t="shared" si="1"/>
        <v>Movie</v>
      </c>
      <c r="F62" s="6"/>
      <c r="G62" s="6" t="str">
        <f t="shared" si="2"/>
        <v>Not Provided</v>
      </c>
      <c r="H62" s="7">
        <v>350</v>
      </c>
      <c r="I62" s="6">
        <f t="shared" si="3"/>
        <v>350</v>
      </c>
      <c r="J62" s="6" t="s">
        <v>23</v>
      </c>
      <c r="K62" s="6" t="str">
        <f t="shared" si="4"/>
        <v>Card</v>
      </c>
      <c r="L62" s="6" t="s">
        <v>22</v>
      </c>
      <c r="M62" s="6" t="str">
        <f t="shared" si="5"/>
        <v>Mall</v>
      </c>
      <c r="N62" s="6"/>
      <c r="O62" s="6" t="str">
        <f t="shared" si="6"/>
        <v>Not Specified</v>
      </c>
      <c r="P62" s="6" t="str">
        <f>TEXT(Table1[[#This Row],[Date]],"mmmm")</f>
        <v>January</v>
      </c>
      <c r="Q62" s="6">
        <f>YEAR(Table1[[#This Row],[Date]])</f>
        <v>2026</v>
      </c>
      <c r="R62" s="6" t="str">
        <f>TEXT(Table1[[#This Row],[Date]],"dddd")</f>
        <v>Thursday</v>
      </c>
      <c r="S62" s="6" t="str">
        <f>IF(WEEKDAY(Table1[[#This Row],[Date]],2)&gt;5,"Weekend","Weekday")</f>
        <v>Weekday</v>
      </c>
      <c r="T62" s="6" t="str">
        <f>IF(Table1[[#This Row],[Amount_Clean]]&gt;500,"High","Normal")</f>
        <v>Normal</v>
      </c>
      <c r="U62" s="6" t="str">
        <f>IF(LOWER(TRIM(Table1[[#This Row],[PaymentMode_Clean]]))="cash","Cash","Digital")</f>
        <v>Digital</v>
      </c>
      <c r="V62" s="6">
        <f>MONTH(Table1[[#This Row],[Date]])</f>
        <v>1</v>
      </c>
    </row>
    <row r="63" spans="1:22" ht="18" x14ac:dyDescent="0.35">
      <c r="A63" s="11">
        <f>DATE(2026, MONTH(Raw_Data!A63), DAY(Raw_Data!A63))</f>
        <v>46054</v>
      </c>
      <c r="B63" s="6" t="s">
        <v>8</v>
      </c>
      <c r="C63" s="6" t="str">
        <f t="shared" si="0"/>
        <v>Food</v>
      </c>
      <c r="D63" s="6" t="s">
        <v>9</v>
      </c>
      <c r="E63" s="6" t="str">
        <f t="shared" si="1"/>
        <v>Lunch</v>
      </c>
      <c r="F63" s="6" t="s">
        <v>10</v>
      </c>
      <c r="G63" s="6" t="str">
        <f t="shared" si="2"/>
        <v>Canteen</v>
      </c>
      <c r="H63" s="6" t="s">
        <v>11</v>
      </c>
      <c r="I63" s="6">
        <f t="shared" si="3"/>
        <v>200</v>
      </c>
      <c r="J63" s="6" t="s">
        <v>12</v>
      </c>
      <c r="K63" s="6" t="str">
        <f t="shared" si="4"/>
        <v>UPI</v>
      </c>
      <c r="L63" s="6" t="s">
        <v>13</v>
      </c>
      <c r="M63" s="6" t="str">
        <f t="shared" si="5"/>
        <v>Outside</v>
      </c>
      <c r="N63" s="6"/>
      <c r="O63" s="6" t="str">
        <f t="shared" si="6"/>
        <v>Not Specified</v>
      </c>
      <c r="P63" s="6" t="str">
        <f>TEXT(Table1[[#This Row],[Date]],"mmmm")</f>
        <v>February</v>
      </c>
      <c r="Q63" s="6">
        <f>YEAR(Table1[[#This Row],[Date]])</f>
        <v>2026</v>
      </c>
      <c r="R63" s="6" t="str">
        <f>TEXT(Table1[[#This Row],[Date]],"dddd")</f>
        <v>Sunday</v>
      </c>
      <c r="S63" s="6" t="str">
        <f>IF(WEEKDAY(Table1[[#This Row],[Date]],2)&gt;5,"Weekend","Weekday")</f>
        <v>Weekend</v>
      </c>
      <c r="T63" s="6" t="str">
        <f>IF(Table1[[#This Row],[Amount_Clean]]&gt;500,"High","Normal")</f>
        <v>Normal</v>
      </c>
      <c r="U63" s="6" t="str">
        <f>IF(LOWER(TRIM(Table1[[#This Row],[PaymentMode_Clean]]))="cash","Cash","Digital")</f>
        <v>Digital</v>
      </c>
      <c r="V63" s="6">
        <f>MONTH(Table1[[#This Row],[Date]])</f>
        <v>2</v>
      </c>
    </row>
    <row r="64" spans="1:22" ht="18" x14ac:dyDescent="0.35">
      <c r="A64" s="11">
        <f>DATE(2026, MONTH(Raw_Data!A64), DAY(Raw_Data!A64))</f>
        <v>46082</v>
      </c>
      <c r="B64" s="6" t="s">
        <v>15</v>
      </c>
      <c r="C64" s="6" t="str">
        <f t="shared" si="0"/>
        <v>Food</v>
      </c>
      <c r="D64" s="6" t="s">
        <v>16</v>
      </c>
      <c r="E64" s="6" t="str">
        <f t="shared" si="1"/>
        <v>Dinner</v>
      </c>
      <c r="F64" s="6" t="s">
        <v>17</v>
      </c>
      <c r="G64" s="6" t="str">
        <f t="shared" si="2"/>
        <v>Zomato</v>
      </c>
      <c r="H64" s="6" t="s">
        <v>18</v>
      </c>
      <c r="I64" s="6">
        <f t="shared" si="3"/>
        <v>280</v>
      </c>
      <c r="J64" s="6" t="s">
        <v>19</v>
      </c>
      <c r="K64" s="6" t="str">
        <f t="shared" si="4"/>
        <v>UPI</v>
      </c>
      <c r="L64" s="6" t="s">
        <v>20</v>
      </c>
      <c r="M64" s="6" t="str">
        <f t="shared" si="5"/>
        <v>Home</v>
      </c>
      <c r="N64" s="6" t="s">
        <v>14</v>
      </c>
      <c r="O64" s="6" t="str">
        <f t="shared" si="6"/>
        <v>Late</v>
      </c>
      <c r="P64" s="6" t="str">
        <f>TEXT(Table1[[#This Row],[Date]],"mmmm")</f>
        <v>March</v>
      </c>
      <c r="Q64" s="6">
        <f>YEAR(Table1[[#This Row],[Date]])</f>
        <v>2026</v>
      </c>
      <c r="R64" s="6" t="str">
        <f>TEXT(Table1[[#This Row],[Date]],"dddd")</f>
        <v>Sunday</v>
      </c>
      <c r="S64" s="6" t="str">
        <f>IF(WEEKDAY(Table1[[#This Row],[Date]],2)&gt;5,"Weekend","Weekday")</f>
        <v>Weekend</v>
      </c>
      <c r="T64" s="6" t="str">
        <f>IF(Table1[[#This Row],[Amount_Clean]]&gt;500,"High","Normal")</f>
        <v>Normal</v>
      </c>
      <c r="U64" s="6" t="str">
        <f>IF(LOWER(TRIM(Table1[[#This Row],[PaymentMode_Clean]]))="cash","Cash","Digital")</f>
        <v>Digital</v>
      </c>
      <c r="V64" s="6">
        <f>MONTH(Table1[[#This Row],[Date]])</f>
        <v>3</v>
      </c>
    </row>
    <row r="65" spans="1:22" ht="18" x14ac:dyDescent="0.35">
      <c r="A65" s="11">
        <f>DATE(2026, MONTH(Raw_Data!A65), DAY(Raw_Data!A65))</f>
        <v>46113</v>
      </c>
      <c r="B65" s="6" t="s">
        <v>15</v>
      </c>
      <c r="C65" s="6" t="str">
        <f t="shared" si="0"/>
        <v>Food</v>
      </c>
      <c r="D65" s="6"/>
      <c r="E65" s="6" t="str">
        <f t="shared" si="1"/>
        <v>Not Specified</v>
      </c>
      <c r="F65" s="6"/>
      <c r="G65" s="6" t="str">
        <f t="shared" si="2"/>
        <v>Not Provided</v>
      </c>
      <c r="H65" s="6">
        <v>90</v>
      </c>
      <c r="I65" s="6">
        <f t="shared" si="3"/>
        <v>90</v>
      </c>
      <c r="J65" s="6" t="s">
        <v>21</v>
      </c>
      <c r="K65" s="6" t="str">
        <f t="shared" si="4"/>
        <v>Cash</v>
      </c>
      <c r="L65" s="6" t="s">
        <v>13</v>
      </c>
      <c r="M65" s="6" t="str">
        <f t="shared" si="5"/>
        <v>Outside</v>
      </c>
      <c r="N65" s="6"/>
      <c r="O65" s="6" t="str">
        <f t="shared" si="6"/>
        <v>Not Specified</v>
      </c>
      <c r="P65" s="6" t="str">
        <f>TEXT(Table1[[#This Row],[Date]],"mmmm")</f>
        <v>April</v>
      </c>
      <c r="Q65" s="6">
        <f>YEAR(Table1[[#This Row],[Date]])</f>
        <v>2026</v>
      </c>
      <c r="R65" s="6" t="str">
        <f>TEXT(Table1[[#This Row],[Date]],"dddd")</f>
        <v>Wednesday</v>
      </c>
      <c r="S65" s="6" t="str">
        <f>IF(WEEKDAY(Table1[[#This Row],[Date]],2)&gt;5,"Weekend","Weekday")</f>
        <v>Weekday</v>
      </c>
      <c r="T65" s="6" t="str">
        <f>IF(Table1[[#This Row],[Amount_Clean]]&gt;500,"High","Normal")</f>
        <v>Normal</v>
      </c>
      <c r="U65" s="6" t="str">
        <f>IF(LOWER(TRIM(Table1[[#This Row],[PaymentMode_Clean]]))="cash","Cash","Digital")</f>
        <v>Cash</v>
      </c>
      <c r="V65" s="6">
        <f>MONTH(Table1[[#This Row],[Date]])</f>
        <v>4</v>
      </c>
    </row>
    <row r="66" spans="1:22" ht="18" x14ac:dyDescent="0.35">
      <c r="A66" s="11">
        <f>DATE(2026, MONTH(Raw_Data!A66), DAY(Raw_Data!A66))</f>
        <v>46143</v>
      </c>
      <c r="B66" s="6" t="s">
        <v>15</v>
      </c>
      <c r="C66" s="6" t="str">
        <f t="shared" si="0"/>
        <v>Food</v>
      </c>
      <c r="D66" s="6" t="s">
        <v>16</v>
      </c>
      <c r="E66" s="6" t="str">
        <f t="shared" si="1"/>
        <v>Dinner</v>
      </c>
      <c r="F66" s="6" t="s">
        <v>17</v>
      </c>
      <c r="G66" s="6" t="str">
        <f t="shared" si="2"/>
        <v>Zomato</v>
      </c>
      <c r="H66" s="6" t="s">
        <v>18</v>
      </c>
      <c r="I66" s="6">
        <f t="shared" si="3"/>
        <v>280</v>
      </c>
      <c r="J66" s="6" t="s">
        <v>19</v>
      </c>
      <c r="K66" s="6" t="str">
        <f t="shared" si="4"/>
        <v>UPI</v>
      </c>
      <c r="L66" s="6" t="s">
        <v>20</v>
      </c>
      <c r="M66" s="6" t="str">
        <f t="shared" si="5"/>
        <v>Home</v>
      </c>
      <c r="N66" s="6" t="s">
        <v>14</v>
      </c>
      <c r="O66" s="6" t="str">
        <f t="shared" si="6"/>
        <v>Late</v>
      </c>
      <c r="P66" s="6" t="str">
        <f>TEXT(Table1[[#This Row],[Date]],"mmmm")</f>
        <v>May</v>
      </c>
      <c r="Q66" s="6">
        <f>YEAR(Table1[[#This Row],[Date]])</f>
        <v>2026</v>
      </c>
      <c r="R66" s="6" t="str">
        <f>TEXT(Table1[[#This Row],[Date]],"dddd")</f>
        <v>Friday</v>
      </c>
      <c r="S66" s="6" t="str">
        <f>IF(WEEKDAY(Table1[[#This Row],[Date]],2)&gt;5,"Weekend","Weekday")</f>
        <v>Weekday</v>
      </c>
      <c r="T66" s="6" t="str">
        <f>IF(Table1[[#This Row],[Amount_Clean]]&gt;500,"High","Normal")</f>
        <v>Normal</v>
      </c>
      <c r="U66" s="6" t="str">
        <f>IF(LOWER(TRIM(Table1[[#This Row],[PaymentMode_Clean]]))="cash","Cash","Digital")</f>
        <v>Digital</v>
      </c>
      <c r="V66" s="6">
        <f>MONTH(Table1[[#This Row],[Date]])</f>
        <v>5</v>
      </c>
    </row>
    <row r="67" spans="1:22" ht="18" x14ac:dyDescent="0.35">
      <c r="A67" s="11">
        <f>DATE(2026, MONTH(Raw_Data!A67), DAY(Raw_Data!A67))</f>
        <v>46174</v>
      </c>
      <c r="B67" s="6" t="s">
        <v>15</v>
      </c>
      <c r="C67" s="6" t="str">
        <f t="shared" ref="C67:C113" si="7">IF(LOWER(TRIM(B67))="food","Food",IF(LOWER(TRIM(B67))="travel","Travel",IF(LOWER(TRIM(B67))="entertainment","Entertainment","Other")))</f>
        <v>Food</v>
      </c>
      <c r="D67" s="6"/>
      <c r="E67" s="6" t="str">
        <f t="shared" ref="E67:E113" si="8">IF(TRIM(D67)="","Not Specified",
IF(C67="Food",
IF(LOWER(D67)="lunch","Lunch",
IF(LOWER(D67)="dinner","Dinner","Snacks")),
IF(C67="Travel",
IF(LOWER(D67)="bus","Bus","Bus"),
IF(C67="Entertainment",
IF(LOWER(D67)="movie","Movie","Other"),
"Other"))))</f>
        <v>Not Specified</v>
      </c>
      <c r="F67" s="6"/>
      <c r="G67" s="6" t="str">
        <f t="shared" ref="G67:G113" si="9">IF(TRIM(F67)="","Not Provided",PROPER(TRIM(F67)))</f>
        <v>Not Provided</v>
      </c>
      <c r="H67" s="6">
        <v>90</v>
      </c>
      <c r="I67" s="6">
        <f t="shared" ref="I67:I113" si="10">IF(H67="","",VALUE(SUBSTITUTE(SUBSTITUTE(SUBSTITUTE(LOWER(H67),"rs",""),"/-",""),"$","")))</f>
        <v>90</v>
      </c>
      <c r="J67" s="6" t="s">
        <v>21</v>
      </c>
      <c r="K67" s="6" t="str">
        <f t="shared" ref="K67:K113" si="11">IF(TRIM(J67)="","Not Specified",IF(LOWER(J67)="upi","UPI",IF(LOWER(J67)="cash","Cash",IF(LOWER(J67)="card","Card","Other"))))</f>
        <v>Cash</v>
      </c>
      <c r="L67" s="6" t="s">
        <v>13</v>
      </c>
      <c r="M67" s="6" t="str">
        <f t="shared" ref="M67:M113" si="12">IF(TRIM(L67)="","Not Specified",PROPER(TRIM(L67)))</f>
        <v>Outside</v>
      </c>
      <c r="N67" s="6"/>
      <c r="O67" s="6" t="str">
        <f t="shared" ref="O67:O113" si="13">IF(TRIM(N67)="","Not Specified",PROPER(TRIM(N67)))</f>
        <v>Not Specified</v>
      </c>
      <c r="P67" s="6" t="str">
        <f>TEXT(Table1[[#This Row],[Date]],"mmmm")</f>
        <v>June</v>
      </c>
      <c r="Q67" s="6">
        <f>YEAR(Table1[[#This Row],[Date]])</f>
        <v>2026</v>
      </c>
      <c r="R67" s="6" t="str">
        <f>TEXT(Table1[[#This Row],[Date]],"dddd")</f>
        <v>Monday</v>
      </c>
      <c r="S67" s="6" t="str">
        <f>IF(WEEKDAY(Table1[[#This Row],[Date]],2)&gt;5,"Weekend","Weekday")</f>
        <v>Weekday</v>
      </c>
      <c r="T67" s="6" t="str">
        <f>IF(Table1[[#This Row],[Amount_Clean]]&gt;500,"High","Normal")</f>
        <v>Normal</v>
      </c>
      <c r="U67" s="6" t="str">
        <f>IF(LOWER(TRIM(Table1[[#This Row],[PaymentMode_Clean]]))="cash","Cash","Digital")</f>
        <v>Cash</v>
      </c>
      <c r="V67" s="6">
        <f>MONTH(Table1[[#This Row],[Date]])</f>
        <v>6</v>
      </c>
    </row>
    <row r="68" spans="1:22" ht="18" x14ac:dyDescent="0.35">
      <c r="A68" s="11">
        <f>DATE(2026, MONTH(Raw_Data!A68), DAY(Raw_Data!A68))</f>
        <v>46204</v>
      </c>
      <c r="B68" s="6" t="s">
        <v>28</v>
      </c>
      <c r="C68" s="6" t="str">
        <f t="shared" si="7"/>
        <v>Travel</v>
      </c>
      <c r="D68" s="6" t="s">
        <v>25</v>
      </c>
      <c r="E68" s="6" t="str">
        <f t="shared" si="8"/>
        <v>Bus</v>
      </c>
      <c r="F68" s="6" t="s">
        <v>24</v>
      </c>
      <c r="G68" s="6" t="str">
        <f t="shared" si="9"/>
        <v>College Bus</v>
      </c>
      <c r="H68" s="6">
        <v>40</v>
      </c>
      <c r="I68" s="6">
        <f t="shared" si="10"/>
        <v>40</v>
      </c>
      <c r="J68" s="6" t="s">
        <v>21</v>
      </c>
      <c r="K68" s="6" t="str">
        <f t="shared" si="11"/>
        <v>Cash</v>
      </c>
      <c r="L68" s="6" t="s">
        <v>13</v>
      </c>
      <c r="M68" s="6" t="str">
        <f t="shared" si="12"/>
        <v>Outside</v>
      </c>
      <c r="N68" s="6"/>
      <c r="O68" s="6" t="str">
        <f t="shared" si="13"/>
        <v>Not Specified</v>
      </c>
      <c r="P68" s="6" t="str">
        <f>TEXT(Table1[[#This Row],[Date]],"mmmm")</f>
        <v>July</v>
      </c>
      <c r="Q68" s="6">
        <f>YEAR(Table1[[#This Row],[Date]])</f>
        <v>2026</v>
      </c>
      <c r="R68" s="6" t="str">
        <f>TEXT(Table1[[#This Row],[Date]],"dddd")</f>
        <v>Wednesday</v>
      </c>
      <c r="S68" s="6" t="str">
        <f>IF(WEEKDAY(Table1[[#This Row],[Date]],2)&gt;5,"Weekend","Weekday")</f>
        <v>Weekday</v>
      </c>
      <c r="T68" s="6" t="str">
        <f>IF(Table1[[#This Row],[Amount_Clean]]&gt;500,"High","Normal")</f>
        <v>Normal</v>
      </c>
      <c r="U68" s="6" t="str">
        <f>IF(LOWER(TRIM(Table1[[#This Row],[PaymentMode_Clean]]))="cash","Cash","Digital")</f>
        <v>Cash</v>
      </c>
      <c r="V68" s="6">
        <f>MONTH(Table1[[#This Row],[Date]])</f>
        <v>7</v>
      </c>
    </row>
    <row r="69" spans="1:22" ht="18" x14ac:dyDescent="0.35">
      <c r="A69" s="11">
        <f>DATE(2026, MONTH(Raw_Data!A69), DAY(Raw_Data!A69))</f>
        <v>46235</v>
      </c>
      <c r="B69" s="6" t="s">
        <v>27</v>
      </c>
      <c r="C69" s="6" t="str">
        <f t="shared" si="7"/>
        <v>Entertainment</v>
      </c>
      <c r="D69" s="6" t="s">
        <v>26</v>
      </c>
      <c r="E69" s="6" t="str">
        <f t="shared" si="8"/>
        <v>Movie</v>
      </c>
      <c r="F69" s="6"/>
      <c r="G69" s="6" t="str">
        <f t="shared" si="9"/>
        <v>Not Provided</v>
      </c>
      <c r="H69" s="7">
        <v>350</v>
      </c>
      <c r="I69" s="6">
        <f t="shared" si="10"/>
        <v>350</v>
      </c>
      <c r="J69" s="6" t="s">
        <v>23</v>
      </c>
      <c r="K69" s="6" t="str">
        <f t="shared" si="11"/>
        <v>Card</v>
      </c>
      <c r="L69" s="6" t="s">
        <v>22</v>
      </c>
      <c r="M69" s="6" t="str">
        <f t="shared" si="12"/>
        <v>Mall</v>
      </c>
      <c r="N69" s="6"/>
      <c r="O69" s="6" t="str">
        <f t="shared" si="13"/>
        <v>Not Specified</v>
      </c>
      <c r="P69" s="6" t="str">
        <f>TEXT(Table1[[#This Row],[Date]],"mmmm")</f>
        <v>August</v>
      </c>
      <c r="Q69" s="6">
        <f>YEAR(Table1[[#This Row],[Date]])</f>
        <v>2026</v>
      </c>
      <c r="R69" s="6" t="str">
        <f>TEXT(Table1[[#This Row],[Date]],"dddd")</f>
        <v>Saturday</v>
      </c>
      <c r="S69" s="6" t="str">
        <f>IF(WEEKDAY(Table1[[#This Row],[Date]],2)&gt;5,"Weekend","Weekday")</f>
        <v>Weekend</v>
      </c>
      <c r="T69" s="6" t="str">
        <f>IF(Table1[[#This Row],[Amount_Clean]]&gt;500,"High","Normal")</f>
        <v>Normal</v>
      </c>
      <c r="U69" s="6" t="str">
        <f>IF(LOWER(TRIM(Table1[[#This Row],[PaymentMode_Clean]]))="cash","Cash","Digital")</f>
        <v>Digital</v>
      </c>
      <c r="V69" s="6">
        <f>MONTH(Table1[[#This Row],[Date]])</f>
        <v>8</v>
      </c>
    </row>
    <row r="70" spans="1:22" ht="18" x14ac:dyDescent="0.35">
      <c r="A70" s="11">
        <f>DATE(2026, MONTH(Raw_Data!A70), DAY(Raw_Data!A70))</f>
        <v>46266</v>
      </c>
      <c r="B70" s="6" t="s">
        <v>8</v>
      </c>
      <c r="C70" s="6" t="str">
        <f t="shared" si="7"/>
        <v>Food</v>
      </c>
      <c r="D70" s="6" t="s">
        <v>9</v>
      </c>
      <c r="E70" s="6" t="str">
        <f t="shared" si="8"/>
        <v>Lunch</v>
      </c>
      <c r="F70" s="6" t="s">
        <v>10</v>
      </c>
      <c r="G70" s="6" t="str">
        <f t="shared" si="9"/>
        <v>Canteen</v>
      </c>
      <c r="H70" s="6" t="s">
        <v>11</v>
      </c>
      <c r="I70" s="6">
        <f t="shared" si="10"/>
        <v>200</v>
      </c>
      <c r="J70" s="6" t="s">
        <v>12</v>
      </c>
      <c r="K70" s="6" t="str">
        <f t="shared" si="11"/>
        <v>UPI</v>
      </c>
      <c r="L70" s="6" t="s">
        <v>13</v>
      </c>
      <c r="M70" s="6" t="str">
        <f t="shared" si="12"/>
        <v>Outside</v>
      </c>
      <c r="N70" s="6"/>
      <c r="O70" s="6" t="str">
        <f t="shared" si="13"/>
        <v>Not Specified</v>
      </c>
      <c r="P70" s="6" t="str">
        <f>TEXT(Table1[[#This Row],[Date]],"mmmm")</f>
        <v>September</v>
      </c>
      <c r="Q70" s="6">
        <f>YEAR(Table1[[#This Row],[Date]])</f>
        <v>2026</v>
      </c>
      <c r="R70" s="6" t="str">
        <f>TEXT(Table1[[#This Row],[Date]],"dddd")</f>
        <v>Tuesday</v>
      </c>
      <c r="S70" s="6" t="str">
        <f>IF(WEEKDAY(Table1[[#This Row],[Date]],2)&gt;5,"Weekend","Weekday")</f>
        <v>Weekday</v>
      </c>
      <c r="T70" s="6" t="str">
        <f>IF(Table1[[#This Row],[Amount_Clean]]&gt;500,"High","Normal")</f>
        <v>Normal</v>
      </c>
      <c r="U70" s="6" t="str">
        <f>IF(LOWER(TRIM(Table1[[#This Row],[PaymentMode_Clean]]))="cash","Cash","Digital")</f>
        <v>Digital</v>
      </c>
      <c r="V70" s="6">
        <f>MONTH(Table1[[#This Row],[Date]])</f>
        <v>9</v>
      </c>
    </row>
    <row r="71" spans="1:22" ht="18" x14ac:dyDescent="0.35">
      <c r="A71" s="11">
        <f>DATE(2026, MONTH(Raw_Data!A71), DAY(Raw_Data!A71))</f>
        <v>46296</v>
      </c>
      <c r="B71" s="6" t="s">
        <v>15</v>
      </c>
      <c r="C71" s="6" t="str">
        <f t="shared" si="7"/>
        <v>Food</v>
      </c>
      <c r="D71" s="6" t="s">
        <v>16</v>
      </c>
      <c r="E71" s="6" t="str">
        <f t="shared" si="8"/>
        <v>Dinner</v>
      </c>
      <c r="F71" s="6" t="s">
        <v>17</v>
      </c>
      <c r="G71" s="6" t="str">
        <f t="shared" si="9"/>
        <v>Zomato</v>
      </c>
      <c r="H71" s="6" t="s">
        <v>18</v>
      </c>
      <c r="I71" s="6">
        <f t="shared" si="10"/>
        <v>280</v>
      </c>
      <c r="J71" s="6" t="s">
        <v>19</v>
      </c>
      <c r="K71" s="6" t="str">
        <f t="shared" si="11"/>
        <v>UPI</v>
      </c>
      <c r="L71" s="6" t="s">
        <v>20</v>
      </c>
      <c r="M71" s="6" t="str">
        <f t="shared" si="12"/>
        <v>Home</v>
      </c>
      <c r="N71" s="6" t="s">
        <v>14</v>
      </c>
      <c r="O71" s="6" t="str">
        <f t="shared" si="13"/>
        <v>Late</v>
      </c>
      <c r="P71" s="6" t="str">
        <f>TEXT(Table1[[#This Row],[Date]],"mmmm")</f>
        <v>October</v>
      </c>
      <c r="Q71" s="6">
        <f>YEAR(Table1[[#This Row],[Date]])</f>
        <v>2026</v>
      </c>
      <c r="R71" s="6" t="str">
        <f>TEXT(Table1[[#This Row],[Date]],"dddd")</f>
        <v>Thursday</v>
      </c>
      <c r="S71" s="6" t="str">
        <f>IF(WEEKDAY(Table1[[#This Row],[Date]],2)&gt;5,"Weekend","Weekday")</f>
        <v>Weekday</v>
      </c>
      <c r="T71" s="6" t="str">
        <f>IF(Table1[[#This Row],[Amount_Clean]]&gt;500,"High","Normal")</f>
        <v>Normal</v>
      </c>
      <c r="U71" s="6" t="str">
        <f>IF(LOWER(TRIM(Table1[[#This Row],[PaymentMode_Clean]]))="cash","Cash","Digital")</f>
        <v>Digital</v>
      </c>
      <c r="V71" s="6">
        <f>MONTH(Table1[[#This Row],[Date]])</f>
        <v>10</v>
      </c>
    </row>
    <row r="72" spans="1:22" ht="18" x14ac:dyDescent="0.35">
      <c r="A72" s="11">
        <f>DATE(2026, MONTH(Raw_Data!A72), DAY(Raw_Data!A72))</f>
        <v>46327</v>
      </c>
      <c r="B72" s="6" t="s">
        <v>15</v>
      </c>
      <c r="C72" s="6" t="str">
        <f t="shared" si="7"/>
        <v>Food</v>
      </c>
      <c r="D72" s="6"/>
      <c r="E72" s="6" t="str">
        <f t="shared" si="8"/>
        <v>Not Specified</v>
      </c>
      <c r="F72" s="6"/>
      <c r="G72" s="6" t="str">
        <f t="shared" si="9"/>
        <v>Not Provided</v>
      </c>
      <c r="H72" s="6">
        <v>90</v>
      </c>
      <c r="I72" s="6">
        <f t="shared" si="10"/>
        <v>90</v>
      </c>
      <c r="J72" s="6" t="s">
        <v>21</v>
      </c>
      <c r="K72" s="6" t="str">
        <f t="shared" si="11"/>
        <v>Cash</v>
      </c>
      <c r="L72" s="6" t="s">
        <v>13</v>
      </c>
      <c r="M72" s="6" t="str">
        <f t="shared" si="12"/>
        <v>Outside</v>
      </c>
      <c r="N72" s="6"/>
      <c r="O72" s="6" t="str">
        <f t="shared" si="13"/>
        <v>Not Specified</v>
      </c>
      <c r="P72" s="6" t="str">
        <f>TEXT(Table1[[#This Row],[Date]],"mmmm")</f>
        <v>November</v>
      </c>
      <c r="Q72" s="6">
        <f>YEAR(Table1[[#This Row],[Date]])</f>
        <v>2026</v>
      </c>
      <c r="R72" s="6" t="str">
        <f>TEXT(Table1[[#This Row],[Date]],"dddd")</f>
        <v>Sunday</v>
      </c>
      <c r="S72" s="6" t="str">
        <f>IF(WEEKDAY(Table1[[#This Row],[Date]],2)&gt;5,"Weekend","Weekday")</f>
        <v>Weekend</v>
      </c>
      <c r="T72" s="6" t="str">
        <f>IF(Table1[[#This Row],[Amount_Clean]]&gt;500,"High","Normal")</f>
        <v>Normal</v>
      </c>
      <c r="U72" s="6" t="str">
        <f>IF(LOWER(TRIM(Table1[[#This Row],[PaymentMode_Clean]]))="cash","Cash","Digital")</f>
        <v>Cash</v>
      </c>
      <c r="V72" s="6">
        <f>MONTH(Table1[[#This Row],[Date]])</f>
        <v>11</v>
      </c>
    </row>
    <row r="73" spans="1:22" ht="18" x14ac:dyDescent="0.35">
      <c r="A73" s="11">
        <f>DATE(2026, MONTH(Raw_Data!A73), DAY(Raw_Data!A73))</f>
        <v>46357</v>
      </c>
      <c r="B73" s="6" t="s">
        <v>15</v>
      </c>
      <c r="C73" s="6" t="str">
        <f t="shared" si="7"/>
        <v>Food</v>
      </c>
      <c r="D73" s="6" t="s">
        <v>16</v>
      </c>
      <c r="E73" s="6" t="str">
        <f t="shared" si="8"/>
        <v>Dinner</v>
      </c>
      <c r="F73" s="6" t="s">
        <v>17</v>
      </c>
      <c r="G73" s="6" t="str">
        <f t="shared" si="9"/>
        <v>Zomato</v>
      </c>
      <c r="H73" s="6" t="s">
        <v>18</v>
      </c>
      <c r="I73" s="6">
        <f t="shared" si="10"/>
        <v>280</v>
      </c>
      <c r="J73" s="6" t="s">
        <v>19</v>
      </c>
      <c r="K73" s="6" t="str">
        <f t="shared" si="11"/>
        <v>UPI</v>
      </c>
      <c r="L73" s="6" t="s">
        <v>20</v>
      </c>
      <c r="M73" s="6" t="str">
        <f t="shared" si="12"/>
        <v>Home</v>
      </c>
      <c r="N73" s="6" t="s">
        <v>14</v>
      </c>
      <c r="O73" s="6" t="str">
        <f t="shared" si="13"/>
        <v>Late</v>
      </c>
      <c r="P73" s="6" t="str">
        <f>TEXT(Table1[[#This Row],[Date]],"mmmm")</f>
        <v>December</v>
      </c>
      <c r="Q73" s="6">
        <f>YEAR(Table1[[#This Row],[Date]])</f>
        <v>2026</v>
      </c>
      <c r="R73" s="6" t="str">
        <f>TEXT(Table1[[#This Row],[Date]],"dddd")</f>
        <v>Tuesday</v>
      </c>
      <c r="S73" s="6" t="str">
        <f>IF(WEEKDAY(Table1[[#This Row],[Date]],2)&gt;5,"Weekend","Weekday")</f>
        <v>Weekday</v>
      </c>
      <c r="T73" s="6" t="str">
        <f>IF(Table1[[#This Row],[Amount_Clean]]&gt;500,"High","Normal")</f>
        <v>Normal</v>
      </c>
      <c r="U73" s="6" t="str">
        <f>IF(LOWER(TRIM(Table1[[#This Row],[PaymentMode_Clean]]))="cash","Cash","Digital")</f>
        <v>Digital</v>
      </c>
      <c r="V73" s="6">
        <f>MONTH(Table1[[#This Row],[Date]])</f>
        <v>12</v>
      </c>
    </row>
    <row r="74" spans="1:22" ht="18" x14ac:dyDescent="0.35">
      <c r="A74" s="11">
        <f>DATE(2026, MONTH(Raw_Data!A74), DAY(Raw_Data!A74))</f>
        <v>46023</v>
      </c>
      <c r="B74" s="6" t="s">
        <v>15</v>
      </c>
      <c r="C74" s="6" t="str">
        <f t="shared" si="7"/>
        <v>Food</v>
      </c>
      <c r="D74" s="6"/>
      <c r="E74" s="6" t="str">
        <f t="shared" si="8"/>
        <v>Not Specified</v>
      </c>
      <c r="F74" s="6"/>
      <c r="G74" s="6" t="str">
        <f t="shared" si="9"/>
        <v>Not Provided</v>
      </c>
      <c r="H74" s="6">
        <v>90</v>
      </c>
      <c r="I74" s="6">
        <f t="shared" si="10"/>
        <v>90</v>
      </c>
      <c r="J74" s="6" t="s">
        <v>21</v>
      </c>
      <c r="K74" s="6" t="str">
        <f t="shared" si="11"/>
        <v>Cash</v>
      </c>
      <c r="L74" s="6" t="s">
        <v>13</v>
      </c>
      <c r="M74" s="6" t="str">
        <f t="shared" si="12"/>
        <v>Outside</v>
      </c>
      <c r="N74" s="6"/>
      <c r="O74" s="6" t="str">
        <f t="shared" si="13"/>
        <v>Not Specified</v>
      </c>
      <c r="P74" s="6" t="str">
        <f>TEXT(Table1[[#This Row],[Date]],"mmmm")</f>
        <v>January</v>
      </c>
      <c r="Q74" s="6">
        <f>YEAR(Table1[[#This Row],[Date]])</f>
        <v>2026</v>
      </c>
      <c r="R74" s="6" t="str">
        <f>TEXT(Table1[[#This Row],[Date]],"dddd")</f>
        <v>Thursday</v>
      </c>
      <c r="S74" s="6" t="str">
        <f>IF(WEEKDAY(Table1[[#This Row],[Date]],2)&gt;5,"Weekend","Weekday")</f>
        <v>Weekday</v>
      </c>
      <c r="T74" s="6" t="str">
        <f>IF(Table1[[#This Row],[Amount_Clean]]&gt;500,"High","Normal")</f>
        <v>Normal</v>
      </c>
      <c r="U74" s="6" t="str">
        <f>IF(LOWER(TRIM(Table1[[#This Row],[PaymentMode_Clean]]))="cash","Cash","Digital")</f>
        <v>Cash</v>
      </c>
      <c r="V74" s="6">
        <f>MONTH(Table1[[#This Row],[Date]])</f>
        <v>1</v>
      </c>
    </row>
    <row r="75" spans="1:22" ht="18" x14ac:dyDescent="0.35">
      <c r="A75" s="11">
        <f>DATE(2026, MONTH(Raw_Data!A75), DAY(Raw_Data!A75))</f>
        <v>46054</v>
      </c>
      <c r="B75" s="6" t="s">
        <v>28</v>
      </c>
      <c r="C75" s="6" t="str">
        <f t="shared" si="7"/>
        <v>Travel</v>
      </c>
      <c r="D75" s="6" t="s">
        <v>25</v>
      </c>
      <c r="E75" s="6" t="str">
        <f t="shared" si="8"/>
        <v>Bus</v>
      </c>
      <c r="F75" s="6" t="s">
        <v>24</v>
      </c>
      <c r="G75" s="6" t="str">
        <f t="shared" si="9"/>
        <v>College Bus</v>
      </c>
      <c r="H75" s="6">
        <v>40</v>
      </c>
      <c r="I75" s="6">
        <f t="shared" si="10"/>
        <v>40</v>
      </c>
      <c r="J75" s="6" t="s">
        <v>21</v>
      </c>
      <c r="K75" s="6" t="str">
        <f t="shared" si="11"/>
        <v>Cash</v>
      </c>
      <c r="L75" s="6" t="s">
        <v>13</v>
      </c>
      <c r="M75" s="6" t="str">
        <f t="shared" si="12"/>
        <v>Outside</v>
      </c>
      <c r="N75" s="6"/>
      <c r="O75" s="6" t="str">
        <f t="shared" si="13"/>
        <v>Not Specified</v>
      </c>
      <c r="P75" s="6" t="str">
        <f>TEXT(Table1[[#This Row],[Date]],"mmmm")</f>
        <v>February</v>
      </c>
      <c r="Q75" s="6">
        <f>YEAR(Table1[[#This Row],[Date]])</f>
        <v>2026</v>
      </c>
      <c r="R75" s="6" t="str">
        <f>TEXT(Table1[[#This Row],[Date]],"dddd")</f>
        <v>Sunday</v>
      </c>
      <c r="S75" s="6" t="str">
        <f>IF(WEEKDAY(Table1[[#This Row],[Date]],2)&gt;5,"Weekend","Weekday")</f>
        <v>Weekend</v>
      </c>
      <c r="T75" s="6" t="str">
        <f>IF(Table1[[#This Row],[Amount_Clean]]&gt;500,"High","Normal")</f>
        <v>Normal</v>
      </c>
      <c r="U75" s="6" t="str">
        <f>IF(LOWER(TRIM(Table1[[#This Row],[PaymentMode_Clean]]))="cash","Cash","Digital")</f>
        <v>Cash</v>
      </c>
      <c r="V75" s="6">
        <f>MONTH(Table1[[#This Row],[Date]])</f>
        <v>2</v>
      </c>
    </row>
    <row r="76" spans="1:22" ht="18" x14ac:dyDescent="0.35">
      <c r="A76" s="11">
        <f>DATE(2026, MONTH(Raw_Data!A76), DAY(Raw_Data!A76))</f>
        <v>46082</v>
      </c>
      <c r="B76" s="6" t="s">
        <v>27</v>
      </c>
      <c r="C76" s="6" t="str">
        <f t="shared" si="7"/>
        <v>Entertainment</v>
      </c>
      <c r="D76" s="6" t="s">
        <v>26</v>
      </c>
      <c r="E76" s="6" t="str">
        <f t="shared" si="8"/>
        <v>Movie</v>
      </c>
      <c r="F76" s="6"/>
      <c r="G76" s="6" t="str">
        <f t="shared" si="9"/>
        <v>Not Provided</v>
      </c>
      <c r="H76" s="7">
        <v>350</v>
      </c>
      <c r="I76" s="6">
        <f t="shared" si="10"/>
        <v>350</v>
      </c>
      <c r="J76" s="6" t="s">
        <v>23</v>
      </c>
      <c r="K76" s="6" t="str">
        <f t="shared" si="11"/>
        <v>Card</v>
      </c>
      <c r="L76" s="6" t="s">
        <v>22</v>
      </c>
      <c r="M76" s="6" t="str">
        <f t="shared" si="12"/>
        <v>Mall</v>
      </c>
      <c r="N76" s="6"/>
      <c r="O76" s="6" t="str">
        <f t="shared" si="13"/>
        <v>Not Specified</v>
      </c>
      <c r="P76" s="6" t="str">
        <f>TEXT(Table1[[#This Row],[Date]],"mmmm")</f>
        <v>March</v>
      </c>
      <c r="Q76" s="6">
        <f>YEAR(Table1[[#This Row],[Date]])</f>
        <v>2026</v>
      </c>
      <c r="R76" s="6" t="str">
        <f>TEXT(Table1[[#This Row],[Date]],"dddd")</f>
        <v>Sunday</v>
      </c>
      <c r="S76" s="6" t="str">
        <f>IF(WEEKDAY(Table1[[#This Row],[Date]],2)&gt;5,"Weekend","Weekday")</f>
        <v>Weekend</v>
      </c>
      <c r="T76" s="6" t="str">
        <f>IF(Table1[[#This Row],[Amount_Clean]]&gt;500,"High","Normal")</f>
        <v>Normal</v>
      </c>
      <c r="U76" s="6" t="str">
        <f>IF(LOWER(TRIM(Table1[[#This Row],[PaymentMode_Clean]]))="cash","Cash","Digital")</f>
        <v>Digital</v>
      </c>
      <c r="V76" s="6">
        <f>MONTH(Table1[[#This Row],[Date]])</f>
        <v>3</v>
      </c>
    </row>
    <row r="77" spans="1:22" ht="18" x14ac:dyDescent="0.35">
      <c r="A77" s="11">
        <f>DATE(2026, MONTH(Raw_Data!A77), DAY(Raw_Data!A77))</f>
        <v>46113</v>
      </c>
      <c r="B77" s="6" t="s">
        <v>8</v>
      </c>
      <c r="C77" s="6" t="str">
        <f t="shared" si="7"/>
        <v>Food</v>
      </c>
      <c r="D77" s="6" t="s">
        <v>9</v>
      </c>
      <c r="E77" s="6" t="str">
        <f t="shared" si="8"/>
        <v>Lunch</v>
      </c>
      <c r="F77" s="6" t="s">
        <v>10</v>
      </c>
      <c r="G77" s="6" t="str">
        <f t="shared" si="9"/>
        <v>Canteen</v>
      </c>
      <c r="H77" s="6" t="s">
        <v>11</v>
      </c>
      <c r="I77" s="6">
        <f t="shared" si="10"/>
        <v>200</v>
      </c>
      <c r="J77" s="6" t="s">
        <v>12</v>
      </c>
      <c r="K77" s="6" t="str">
        <f t="shared" si="11"/>
        <v>UPI</v>
      </c>
      <c r="L77" s="6" t="s">
        <v>13</v>
      </c>
      <c r="M77" s="6" t="str">
        <f t="shared" si="12"/>
        <v>Outside</v>
      </c>
      <c r="N77" s="6"/>
      <c r="O77" s="6" t="str">
        <f t="shared" si="13"/>
        <v>Not Specified</v>
      </c>
      <c r="P77" s="6" t="str">
        <f>TEXT(Table1[[#This Row],[Date]],"mmmm")</f>
        <v>April</v>
      </c>
      <c r="Q77" s="6">
        <f>YEAR(Table1[[#This Row],[Date]])</f>
        <v>2026</v>
      </c>
      <c r="R77" s="6" t="str">
        <f>TEXT(Table1[[#This Row],[Date]],"dddd")</f>
        <v>Wednesday</v>
      </c>
      <c r="S77" s="6" t="str">
        <f>IF(WEEKDAY(Table1[[#This Row],[Date]],2)&gt;5,"Weekend","Weekday")</f>
        <v>Weekday</v>
      </c>
      <c r="T77" s="6" t="str">
        <f>IF(Table1[[#This Row],[Amount_Clean]]&gt;500,"High","Normal")</f>
        <v>Normal</v>
      </c>
      <c r="U77" s="6" t="str">
        <f>IF(LOWER(TRIM(Table1[[#This Row],[PaymentMode_Clean]]))="cash","Cash","Digital")</f>
        <v>Digital</v>
      </c>
      <c r="V77" s="6">
        <f>MONTH(Table1[[#This Row],[Date]])</f>
        <v>4</v>
      </c>
    </row>
    <row r="78" spans="1:22" ht="18" x14ac:dyDescent="0.35">
      <c r="A78" s="11">
        <f>DATE(2026, MONTH(Raw_Data!A78), DAY(Raw_Data!A78))</f>
        <v>46143</v>
      </c>
      <c r="B78" s="6" t="s">
        <v>15</v>
      </c>
      <c r="C78" s="6" t="str">
        <f t="shared" si="7"/>
        <v>Food</v>
      </c>
      <c r="D78" s="6" t="s">
        <v>16</v>
      </c>
      <c r="E78" s="6" t="str">
        <f t="shared" si="8"/>
        <v>Dinner</v>
      </c>
      <c r="F78" s="6" t="s">
        <v>17</v>
      </c>
      <c r="G78" s="6" t="str">
        <f t="shared" si="9"/>
        <v>Zomato</v>
      </c>
      <c r="H78" s="6" t="s">
        <v>18</v>
      </c>
      <c r="I78" s="6">
        <f t="shared" si="10"/>
        <v>280</v>
      </c>
      <c r="J78" s="6" t="s">
        <v>19</v>
      </c>
      <c r="K78" s="6" t="str">
        <f t="shared" si="11"/>
        <v>UPI</v>
      </c>
      <c r="L78" s="6" t="s">
        <v>20</v>
      </c>
      <c r="M78" s="6" t="str">
        <f t="shared" si="12"/>
        <v>Home</v>
      </c>
      <c r="N78" s="6" t="s">
        <v>14</v>
      </c>
      <c r="O78" s="6" t="str">
        <f t="shared" si="13"/>
        <v>Late</v>
      </c>
      <c r="P78" s="6" t="str">
        <f>TEXT(Table1[[#This Row],[Date]],"mmmm")</f>
        <v>May</v>
      </c>
      <c r="Q78" s="6">
        <f>YEAR(Table1[[#This Row],[Date]])</f>
        <v>2026</v>
      </c>
      <c r="R78" s="6" t="str">
        <f>TEXT(Table1[[#This Row],[Date]],"dddd")</f>
        <v>Friday</v>
      </c>
      <c r="S78" s="6" t="str">
        <f>IF(WEEKDAY(Table1[[#This Row],[Date]],2)&gt;5,"Weekend","Weekday")</f>
        <v>Weekday</v>
      </c>
      <c r="T78" s="6" t="str">
        <f>IF(Table1[[#This Row],[Amount_Clean]]&gt;500,"High","Normal")</f>
        <v>Normal</v>
      </c>
      <c r="U78" s="6" t="str">
        <f>IF(LOWER(TRIM(Table1[[#This Row],[PaymentMode_Clean]]))="cash","Cash","Digital")</f>
        <v>Digital</v>
      </c>
      <c r="V78" s="6">
        <f>MONTH(Table1[[#This Row],[Date]])</f>
        <v>5</v>
      </c>
    </row>
    <row r="79" spans="1:22" ht="18" x14ac:dyDescent="0.35">
      <c r="A79" s="11">
        <f>DATE(2026, MONTH(Raw_Data!A79), DAY(Raw_Data!A79))</f>
        <v>46174</v>
      </c>
      <c r="B79" s="6" t="s">
        <v>15</v>
      </c>
      <c r="C79" s="6" t="str">
        <f t="shared" si="7"/>
        <v>Food</v>
      </c>
      <c r="D79" s="6"/>
      <c r="E79" s="6" t="str">
        <f t="shared" si="8"/>
        <v>Not Specified</v>
      </c>
      <c r="F79" s="6"/>
      <c r="G79" s="6" t="str">
        <f t="shared" si="9"/>
        <v>Not Provided</v>
      </c>
      <c r="H79" s="6">
        <v>90</v>
      </c>
      <c r="I79" s="6">
        <f t="shared" si="10"/>
        <v>90</v>
      </c>
      <c r="J79" s="6" t="s">
        <v>21</v>
      </c>
      <c r="K79" s="6" t="str">
        <f t="shared" si="11"/>
        <v>Cash</v>
      </c>
      <c r="L79" s="6" t="s">
        <v>13</v>
      </c>
      <c r="M79" s="6" t="str">
        <f t="shared" si="12"/>
        <v>Outside</v>
      </c>
      <c r="N79" s="6"/>
      <c r="O79" s="6" t="str">
        <f t="shared" si="13"/>
        <v>Not Specified</v>
      </c>
      <c r="P79" s="6" t="str">
        <f>TEXT(Table1[[#This Row],[Date]],"mmmm")</f>
        <v>June</v>
      </c>
      <c r="Q79" s="6">
        <f>YEAR(Table1[[#This Row],[Date]])</f>
        <v>2026</v>
      </c>
      <c r="R79" s="6" t="str">
        <f>TEXT(Table1[[#This Row],[Date]],"dddd")</f>
        <v>Monday</v>
      </c>
      <c r="S79" s="6" t="str">
        <f>IF(WEEKDAY(Table1[[#This Row],[Date]],2)&gt;5,"Weekend","Weekday")</f>
        <v>Weekday</v>
      </c>
      <c r="T79" s="6" t="str">
        <f>IF(Table1[[#This Row],[Amount_Clean]]&gt;500,"High","Normal")</f>
        <v>Normal</v>
      </c>
      <c r="U79" s="6" t="str">
        <f>IF(LOWER(TRIM(Table1[[#This Row],[PaymentMode_Clean]]))="cash","Cash","Digital")</f>
        <v>Cash</v>
      </c>
      <c r="V79" s="6">
        <f>MONTH(Table1[[#This Row],[Date]])</f>
        <v>6</v>
      </c>
    </row>
    <row r="80" spans="1:22" ht="18" x14ac:dyDescent="0.35">
      <c r="A80" s="11">
        <f>DATE(2026, MONTH(Raw_Data!A80), DAY(Raw_Data!A80))</f>
        <v>46204</v>
      </c>
      <c r="B80" s="6" t="s">
        <v>15</v>
      </c>
      <c r="C80" s="6" t="str">
        <f t="shared" si="7"/>
        <v>Food</v>
      </c>
      <c r="D80" s="6" t="s">
        <v>16</v>
      </c>
      <c r="E80" s="6" t="str">
        <f t="shared" si="8"/>
        <v>Dinner</v>
      </c>
      <c r="F80" s="6" t="s">
        <v>17</v>
      </c>
      <c r="G80" s="6" t="str">
        <f t="shared" si="9"/>
        <v>Zomato</v>
      </c>
      <c r="H80" s="6" t="s">
        <v>18</v>
      </c>
      <c r="I80" s="6">
        <f t="shared" si="10"/>
        <v>280</v>
      </c>
      <c r="J80" s="6" t="s">
        <v>19</v>
      </c>
      <c r="K80" s="6" t="str">
        <f t="shared" si="11"/>
        <v>UPI</v>
      </c>
      <c r="L80" s="6" t="s">
        <v>20</v>
      </c>
      <c r="M80" s="6" t="str">
        <f t="shared" si="12"/>
        <v>Home</v>
      </c>
      <c r="N80" s="6" t="s">
        <v>14</v>
      </c>
      <c r="O80" s="6" t="str">
        <f t="shared" si="13"/>
        <v>Late</v>
      </c>
      <c r="P80" s="6" t="str">
        <f>TEXT(Table1[[#This Row],[Date]],"mmmm")</f>
        <v>July</v>
      </c>
      <c r="Q80" s="6">
        <f>YEAR(Table1[[#This Row],[Date]])</f>
        <v>2026</v>
      </c>
      <c r="R80" s="6" t="str">
        <f>TEXT(Table1[[#This Row],[Date]],"dddd")</f>
        <v>Wednesday</v>
      </c>
      <c r="S80" s="6" t="str">
        <f>IF(WEEKDAY(Table1[[#This Row],[Date]],2)&gt;5,"Weekend","Weekday")</f>
        <v>Weekday</v>
      </c>
      <c r="T80" s="6" t="str">
        <f>IF(Table1[[#This Row],[Amount_Clean]]&gt;500,"High","Normal")</f>
        <v>Normal</v>
      </c>
      <c r="U80" s="6" t="str">
        <f>IF(LOWER(TRIM(Table1[[#This Row],[PaymentMode_Clean]]))="cash","Cash","Digital")</f>
        <v>Digital</v>
      </c>
      <c r="V80" s="6">
        <f>MONTH(Table1[[#This Row],[Date]])</f>
        <v>7</v>
      </c>
    </row>
    <row r="81" spans="1:22" ht="18" x14ac:dyDescent="0.35">
      <c r="A81" s="11">
        <f>DATE(2026, MONTH(Raw_Data!A81), DAY(Raw_Data!A81))</f>
        <v>46235</v>
      </c>
      <c r="B81" s="6" t="s">
        <v>15</v>
      </c>
      <c r="C81" s="6" t="str">
        <f t="shared" si="7"/>
        <v>Food</v>
      </c>
      <c r="D81" s="6"/>
      <c r="E81" s="6" t="str">
        <f t="shared" si="8"/>
        <v>Not Specified</v>
      </c>
      <c r="F81" s="6"/>
      <c r="G81" s="6" t="str">
        <f t="shared" si="9"/>
        <v>Not Provided</v>
      </c>
      <c r="H81" s="6">
        <v>90</v>
      </c>
      <c r="I81" s="6">
        <f t="shared" si="10"/>
        <v>90</v>
      </c>
      <c r="J81" s="6" t="s">
        <v>21</v>
      </c>
      <c r="K81" s="6" t="str">
        <f t="shared" si="11"/>
        <v>Cash</v>
      </c>
      <c r="L81" s="6" t="s">
        <v>13</v>
      </c>
      <c r="M81" s="6" t="str">
        <f t="shared" si="12"/>
        <v>Outside</v>
      </c>
      <c r="N81" s="6"/>
      <c r="O81" s="6" t="str">
        <f t="shared" si="13"/>
        <v>Not Specified</v>
      </c>
      <c r="P81" s="6" t="str">
        <f>TEXT(Table1[[#This Row],[Date]],"mmmm")</f>
        <v>August</v>
      </c>
      <c r="Q81" s="6">
        <f>YEAR(Table1[[#This Row],[Date]])</f>
        <v>2026</v>
      </c>
      <c r="R81" s="6" t="str">
        <f>TEXT(Table1[[#This Row],[Date]],"dddd")</f>
        <v>Saturday</v>
      </c>
      <c r="S81" s="6" t="str">
        <f>IF(WEEKDAY(Table1[[#This Row],[Date]],2)&gt;5,"Weekend","Weekday")</f>
        <v>Weekend</v>
      </c>
      <c r="T81" s="6" t="str">
        <f>IF(Table1[[#This Row],[Amount_Clean]]&gt;500,"High","Normal")</f>
        <v>Normal</v>
      </c>
      <c r="U81" s="6" t="str">
        <f>IF(LOWER(TRIM(Table1[[#This Row],[PaymentMode_Clean]]))="cash","Cash","Digital")</f>
        <v>Cash</v>
      </c>
      <c r="V81" s="6">
        <f>MONTH(Table1[[#This Row],[Date]])</f>
        <v>8</v>
      </c>
    </row>
    <row r="82" spans="1:22" ht="18" x14ac:dyDescent="0.35">
      <c r="A82" s="11">
        <f>DATE(2026, MONTH(Raw_Data!A82), DAY(Raw_Data!A82))</f>
        <v>46266</v>
      </c>
      <c r="B82" s="6" t="s">
        <v>15</v>
      </c>
      <c r="C82" s="6" t="str">
        <f t="shared" si="7"/>
        <v>Food</v>
      </c>
      <c r="D82" s="6"/>
      <c r="E82" s="6" t="str">
        <f t="shared" si="8"/>
        <v>Not Specified</v>
      </c>
      <c r="F82" s="6"/>
      <c r="G82" s="6" t="str">
        <f t="shared" si="9"/>
        <v>Not Provided</v>
      </c>
      <c r="H82" s="6">
        <v>90</v>
      </c>
      <c r="I82" s="6">
        <f t="shared" si="10"/>
        <v>90</v>
      </c>
      <c r="J82" s="6" t="s">
        <v>21</v>
      </c>
      <c r="K82" s="6" t="str">
        <f t="shared" si="11"/>
        <v>Cash</v>
      </c>
      <c r="L82" s="6" t="s">
        <v>13</v>
      </c>
      <c r="M82" s="6" t="str">
        <f t="shared" si="12"/>
        <v>Outside</v>
      </c>
      <c r="N82" s="6"/>
      <c r="O82" s="6" t="str">
        <f t="shared" si="13"/>
        <v>Not Specified</v>
      </c>
      <c r="P82" s="6" t="str">
        <f>TEXT(Table1[[#This Row],[Date]],"mmmm")</f>
        <v>September</v>
      </c>
      <c r="Q82" s="6">
        <f>YEAR(Table1[[#This Row],[Date]])</f>
        <v>2026</v>
      </c>
      <c r="R82" s="6" t="str">
        <f>TEXT(Table1[[#This Row],[Date]],"dddd")</f>
        <v>Tuesday</v>
      </c>
      <c r="S82" s="6" t="str">
        <f>IF(WEEKDAY(Table1[[#This Row],[Date]],2)&gt;5,"Weekend","Weekday")</f>
        <v>Weekday</v>
      </c>
      <c r="T82" s="6" t="str">
        <f>IF(Table1[[#This Row],[Amount_Clean]]&gt;500,"High","Normal")</f>
        <v>Normal</v>
      </c>
      <c r="U82" s="6" t="str">
        <f>IF(LOWER(TRIM(Table1[[#This Row],[PaymentMode_Clean]]))="cash","Cash","Digital")</f>
        <v>Cash</v>
      </c>
      <c r="V82" s="6">
        <f>MONTH(Table1[[#This Row],[Date]])</f>
        <v>9</v>
      </c>
    </row>
    <row r="83" spans="1:22" ht="18" x14ac:dyDescent="0.35">
      <c r="A83" s="11">
        <f>DATE(2026, MONTH(Raw_Data!A83), DAY(Raw_Data!A83))</f>
        <v>46296</v>
      </c>
      <c r="B83" s="6" t="s">
        <v>28</v>
      </c>
      <c r="C83" s="6" t="str">
        <f t="shared" si="7"/>
        <v>Travel</v>
      </c>
      <c r="D83" s="6" t="s">
        <v>25</v>
      </c>
      <c r="E83" s="6" t="str">
        <f t="shared" si="8"/>
        <v>Bus</v>
      </c>
      <c r="F83" s="6" t="s">
        <v>24</v>
      </c>
      <c r="G83" s="6" t="str">
        <f t="shared" si="9"/>
        <v>College Bus</v>
      </c>
      <c r="H83" s="6">
        <v>40</v>
      </c>
      <c r="I83" s="6">
        <f t="shared" si="10"/>
        <v>40</v>
      </c>
      <c r="J83" s="6" t="s">
        <v>21</v>
      </c>
      <c r="K83" s="6" t="str">
        <f t="shared" si="11"/>
        <v>Cash</v>
      </c>
      <c r="L83" s="6" t="s">
        <v>13</v>
      </c>
      <c r="M83" s="6" t="str">
        <f t="shared" si="12"/>
        <v>Outside</v>
      </c>
      <c r="N83" s="6"/>
      <c r="O83" s="6" t="str">
        <f t="shared" si="13"/>
        <v>Not Specified</v>
      </c>
      <c r="P83" s="6" t="str">
        <f>TEXT(Table1[[#This Row],[Date]],"mmmm")</f>
        <v>October</v>
      </c>
      <c r="Q83" s="6">
        <f>YEAR(Table1[[#This Row],[Date]])</f>
        <v>2026</v>
      </c>
      <c r="R83" s="6" t="str">
        <f>TEXT(Table1[[#This Row],[Date]],"dddd")</f>
        <v>Thursday</v>
      </c>
      <c r="S83" s="6" t="str">
        <f>IF(WEEKDAY(Table1[[#This Row],[Date]],2)&gt;5,"Weekend","Weekday")</f>
        <v>Weekday</v>
      </c>
      <c r="T83" s="6" t="str">
        <f>IF(Table1[[#This Row],[Amount_Clean]]&gt;500,"High","Normal")</f>
        <v>Normal</v>
      </c>
      <c r="U83" s="6" t="str">
        <f>IF(LOWER(TRIM(Table1[[#This Row],[PaymentMode_Clean]]))="cash","Cash","Digital")</f>
        <v>Cash</v>
      </c>
      <c r="V83" s="6">
        <f>MONTH(Table1[[#This Row],[Date]])</f>
        <v>10</v>
      </c>
    </row>
    <row r="84" spans="1:22" ht="18" x14ac:dyDescent="0.35">
      <c r="A84" s="11">
        <f>DATE(2026, MONTH(Raw_Data!A84), DAY(Raw_Data!A84))</f>
        <v>46327</v>
      </c>
      <c r="B84" s="6" t="s">
        <v>27</v>
      </c>
      <c r="C84" s="6" t="str">
        <f t="shared" si="7"/>
        <v>Entertainment</v>
      </c>
      <c r="D84" s="6" t="s">
        <v>26</v>
      </c>
      <c r="E84" s="6" t="str">
        <f t="shared" si="8"/>
        <v>Movie</v>
      </c>
      <c r="F84" s="6"/>
      <c r="G84" s="6" t="str">
        <f t="shared" si="9"/>
        <v>Not Provided</v>
      </c>
      <c r="H84" s="7">
        <v>350</v>
      </c>
      <c r="I84" s="6">
        <f t="shared" si="10"/>
        <v>350</v>
      </c>
      <c r="J84" s="6" t="s">
        <v>23</v>
      </c>
      <c r="K84" s="6" t="str">
        <f t="shared" si="11"/>
        <v>Card</v>
      </c>
      <c r="L84" s="6" t="s">
        <v>22</v>
      </c>
      <c r="M84" s="6" t="str">
        <f t="shared" si="12"/>
        <v>Mall</v>
      </c>
      <c r="N84" s="6"/>
      <c r="O84" s="6" t="str">
        <f t="shared" si="13"/>
        <v>Not Specified</v>
      </c>
      <c r="P84" s="6" t="str">
        <f>TEXT(Table1[[#This Row],[Date]],"mmmm")</f>
        <v>November</v>
      </c>
      <c r="Q84" s="6">
        <f>YEAR(Table1[[#This Row],[Date]])</f>
        <v>2026</v>
      </c>
      <c r="R84" s="6" t="str">
        <f>TEXT(Table1[[#This Row],[Date]],"dddd")</f>
        <v>Sunday</v>
      </c>
      <c r="S84" s="6" t="str">
        <f>IF(WEEKDAY(Table1[[#This Row],[Date]],2)&gt;5,"Weekend","Weekday")</f>
        <v>Weekend</v>
      </c>
      <c r="T84" s="6" t="str">
        <f>IF(Table1[[#This Row],[Amount_Clean]]&gt;500,"High","Normal")</f>
        <v>Normal</v>
      </c>
      <c r="U84" s="6" t="str">
        <f>IF(LOWER(TRIM(Table1[[#This Row],[PaymentMode_Clean]]))="cash","Cash","Digital")</f>
        <v>Digital</v>
      </c>
      <c r="V84" s="6">
        <f>MONTH(Table1[[#This Row],[Date]])</f>
        <v>11</v>
      </c>
    </row>
    <row r="85" spans="1:22" ht="18" x14ac:dyDescent="0.35">
      <c r="A85" s="11">
        <f>DATE(2026, MONTH(Raw_Data!A85), DAY(Raw_Data!A85))</f>
        <v>46357</v>
      </c>
      <c r="B85" s="6" t="s">
        <v>8</v>
      </c>
      <c r="C85" s="6" t="str">
        <f t="shared" si="7"/>
        <v>Food</v>
      </c>
      <c r="D85" s="6" t="s">
        <v>9</v>
      </c>
      <c r="E85" s="6" t="str">
        <f t="shared" si="8"/>
        <v>Lunch</v>
      </c>
      <c r="F85" s="6" t="s">
        <v>10</v>
      </c>
      <c r="G85" s="6" t="str">
        <f t="shared" si="9"/>
        <v>Canteen</v>
      </c>
      <c r="H85" s="6" t="s">
        <v>11</v>
      </c>
      <c r="I85" s="6">
        <f t="shared" si="10"/>
        <v>200</v>
      </c>
      <c r="J85" s="6" t="s">
        <v>12</v>
      </c>
      <c r="K85" s="6" t="str">
        <f t="shared" si="11"/>
        <v>UPI</v>
      </c>
      <c r="L85" s="6" t="s">
        <v>13</v>
      </c>
      <c r="M85" s="6" t="str">
        <f t="shared" si="12"/>
        <v>Outside</v>
      </c>
      <c r="N85" s="6"/>
      <c r="O85" s="6" t="str">
        <f t="shared" si="13"/>
        <v>Not Specified</v>
      </c>
      <c r="P85" s="6" t="str">
        <f>TEXT(Table1[[#This Row],[Date]],"mmmm")</f>
        <v>December</v>
      </c>
      <c r="Q85" s="6">
        <f>YEAR(Table1[[#This Row],[Date]])</f>
        <v>2026</v>
      </c>
      <c r="R85" s="6" t="str">
        <f>TEXT(Table1[[#This Row],[Date]],"dddd")</f>
        <v>Tuesday</v>
      </c>
      <c r="S85" s="6" t="str">
        <f>IF(WEEKDAY(Table1[[#This Row],[Date]],2)&gt;5,"Weekend","Weekday")</f>
        <v>Weekday</v>
      </c>
      <c r="T85" s="6" t="str">
        <f>IF(Table1[[#This Row],[Amount_Clean]]&gt;500,"High","Normal")</f>
        <v>Normal</v>
      </c>
      <c r="U85" s="6" t="str">
        <f>IF(LOWER(TRIM(Table1[[#This Row],[PaymentMode_Clean]]))="cash","Cash","Digital")</f>
        <v>Digital</v>
      </c>
      <c r="V85" s="6">
        <f>MONTH(Table1[[#This Row],[Date]])</f>
        <v>12</v>
      </c>
    </row>
    <row r="86" spans="1:22" ht="18" x14ac:dyDescent="0.35">
      <c r="A86" s="11">
        <f>DATE(2026, MONTH(Raw_Data!A86), DAY(Raw_Data!A86))</f>
        <v>46023</v>
      </c>
      <c r="B86" s="6" t="s">
        <v>15</v>
      </c>
      <c r="C86" s="6" t="str">
        <f t="shared" si="7"/>
        <v>Food</v>
      </c>
      <c r="D86" s="6"/>
      <c r="E86" s="6" t="str">
        <f t="shared" si="8"/>
        <v>Not Specified</v>
      </c>
      <c r="F86" s="6"/>
      <c r="G86" s="6" t="str">
        <f t="shared" si="9"/>
        <v>Not Provided</v>
      </c>
      <c r="H86" s="6">
        <v>90</v>
      </c>
      <c r="I86" s="6">
        <f t="shared" si="10"/>
        <v>90</v>
      </c>
      <c r="J86" s="6" t="s">
        <v>21</v>
      </c>
      <c r="K86" s="6" t="str">
        <f t="shared" si="11"/>
        <v>Cash</v>
      </c>
      <c r="L86" s="6" t="s">
        <v>13</v>
      </c>
      <c r="M86" s="6" t="str">
        <f t="shared" si="12"/>
        <v>Outside</v>
      </c>
      <c r="N86" s="6"/>
      <c r="O86" s="6" t="str">
        <f t="shared" si="13"/>
        <v>Not Specified</v>
      </c>
      <c r="P86" s="6" t="str">
        <f>TEXT(Table1[[#This Row],[Date]],"mmmm")</f>
        <v>January</v>
      </c>
      <c r="Q86" s="6">
        <f>YEAR(Table1[[#This Row],[Date]])</f>
        <v>2026</v>
      </c>
      <c r="R86" s="6" t="str">
        <f>TEXT(Table1[[#This Row],[Date]],"dddd")</f>
        <v>Thursday</v>
      </c>
      <c r="S86" s="6" t="str">
        <f>IF(WEEKDAY(Table1[[#This Row],[Date]],2)&gt;5,"Weekend","Weekday")</f>
        <v>Weekday</v>
      </c>
      <c r="T86" s="6" t="str">
        <f>IF(Table1[[#This Row],[Amount_Clean]]&gt;500,"High","Normal")</f>
        <v>Normal</v>
      </c>
      <c r="U86" s="6" t="str">
        <f>IF(LOWER(TRIM(Table1[[#This Row],[PaymentMode_Clean]]))="cash","Cash","Digital")</f>
        <v>Cash</v>
      </c>
      <c r="V86" s="6">
        <f>MONTH(Table1[[#This Row],[Date]])</f>
        <v>1</v>
      </c>
    </row>
    <row r="87" spans="1:22" ht="18" x14ac:dyDescent="0.35">
      <c r="A87" s="11">
        <f>DATE(2026, MONTH(Raw_Data!A87), DAY(Raw_Data!A87))</f>
        <v>46054</v>
      </c>
      <c r="B87" s="6" t="s">
        <v>28</v>
      </c>
      <c r="C87" s="6" t="str">
        <f t="shared" si="7"/>
        <v>Travel</v>
      </c>
      <c r="D87" s="6" t="s">
        <v>25</v>
      </c>
      <c r="E87" s="6" t="str">
        <f t="shared" si="8"/>
        <v>Bus</v>
      </c>
      <c r="F87" s="6" t="s">
        <v>24</v>
      </c>
      <c r="G87" s="6" t="str">
        <f t="shared" si="9"/>
        <v>College Bus</v>
      </c>
      <c r="H87" s="6">
        <v>40</v>
      </c>
      <c r="I87" s="6">
        <f t="shared" si="10"/>
        <v>40</v>
      </c>
      <c r="J87" s="6" t="s">
        <v>21</v>
      </c>
      <c r="K87" s="6" t="str">
        <f t="shared" si="11"/>
        <v>Cash</v>
      </c>
      <c r="L87" s="6" t="s">
        <v>13</v>
      </c>
      <c r="M87" s="6" t="str">
        <f t="shared" si="12"/>
        <v>Outside</v>
      </c>
      <c r="N87" s="6"/>
      <c r="O87" s="6" t="str">
        <f t="shared" si="13"/>
        <v>Not Specified</v>
      </c>
      <c r="P87" s="6" t="str">
        <f>TEXT(Table1[[#This Row],[Date]],"mmmm")</f>
        <v>February</v>
      </c>
      <c r="Q87" s="6">
        <f>YEAR(Table1[[#This Row],[Date]])</f>
        <v>2026</v>
      </c>
      <c r="R87" s="6" t="str">
        <f>TEXT(Table1[[#This Row],[Date]],"dddd")</f>
        <v>Sunday</v>
      </c>
      <c r="S87" s="6" t="str">
        <f>IF(WEEKDAY(Table1[[#This Row],[Date]],2)&gt;5,"Weekend","Weekday")</f>
        <v>Weekend</v>
      </c>
      <c r="T87" s="6" t="str">
        <f>IF(Table1[[#This Row],[Amount_Clean]]&gt;500,"High","Normal")</f>
        <v>Normal</v>
      </c>
      <c r="U87" s="6" t="str">
        <f>IF(LOWER(TRIM(Table1[[#This Row],[PaymentMode_Clean]]))="cash","Cash","Digital")</f>
        <v>Cash</v>
      </c>
      <c r="V87" s="6">
        <f>MONTH(Table1[[#This Row],[Date]])</f>
        <v>2</v>
      </c>
    </row>
    <row r="88" spans="1:22" ht="18" x14ac:dyDescent="0.35">
      <c r="A88" s="11">
        <f>DATE(2026, MONTH(Raw_Data!A88), DAY(Raw_Data!A88))</f>
        <v>46082</v>
      </c>
      <c r="B88" s="6" t="s">
        <v>27</v>
      </c>
      <c r="C88" s="6" t="str">
        <f t="shared" si="7"/>
        <v>Entertainment</v>
      </c>
      <c r="D88" s="6" t="s">
        <v>26</v>
      </c>
      <c r="E88" s="6" t="str">
        <f t="shared" si="8"/>
        <v>Movie</v>
      </c>
      <c r="F88" s="6"/>
      <c r="G88" s="6" t="str">
        <f t="shared" si="9"/>
        <v>Not Provided</v>
      </c>
      <c r="H88" s="7">
        <v>350</v>
      </c>
      <c r="I88" s="6">
        <f t="shared" si="10"/>
        <v>350</v>
      </c>
      <c r="J88" s="6" t="s">
        <v>23</v>
      </c>
      <c r="K88" s="6" t="str">
        <f t="shared" si="11"/>
        <v>Card</v>
      </c>
      <c r="L88" s="6" t="s">
        <v>22</v>
      </c>
      <c r="M88" s="6" t="str">
        <f t="shared" si="12"/>
        <v>Mall</v>
      </c>
      <c r="N88" s="6"/>
      <c r="O88" s="6" t="str">
        <f t="shared" si="13"/>
        <v>Not Specified</v>
      </c>
      <c r="P88" s="6" t="str">
        <f>TEXT(Table1[[#This Row],[Date]],"mmmm")</f>
        <v>March</v>
      </c>
      <c r="Q88" s="6">
        <f>YEAR(Table1[[#This Row],[Date]])</f>
        <v>2026</v>
      </c>
      <c r="R88" s="6" t="str">
        <f>TEXT(Table1[[#This Row],[Date]],"dddd")</f>
        <v>Sunday</v>
      </c>
      <c r="S88" s="6" t="str">
        <f>IF(WEEKDAY(Table1[[#This Row],[Date]],2)&gt;5,"Weekend","Weekday")</f>
        <v>Weekend</v>
      </c>
      <c r="T88" s="6" t="str">
        <f>IF(Table1[[#This Row],[Amount_Clean]]&gt;500,"High","Normal")</f>
        <v>Normal</v>
      </c>
      <c r="U88" s="6" t="str">
        <f>IF(LOWER(TRIM(Table1[[#This Row],[PaymentMode_Clean]]))="cash","Cash","Digital")</f>
        <v>Digital</v>
      </c>
      <c r="V88" s="6">
        <f>MONTH(Table1[[#This Row],[Date]])</f>
        <v>3</v>
      </c>
    </row>
    <row r="89" spans="1:22" ht="18" x14ac:dyDescent="0.35">
      <c r="A89" s="11">
        <f>DATE(2026, MONTH(Raw_Data!A89), DAY(Raw_Data!A89))</f>
        <v>46113</v>
      </c>
      <c r="B89" s="6" t="s">
        <v>8</v>
      </c>
      <c r="C89" s="6" t="str">
        <f t="shared" si="7"/>
        <v>Food</v>
      </c>
      <c r="D89" s="6" t="s">
        <v>9</v>
      </c>
      <c r="E89" s="6" t="str">
        <f t="shared" si="8"/>
        <v>Lunch</v>
      </c>
      <c r="F89" s="6" t="s">
        <v>10</v>
      </c>
      <c r="G89" s="6" t="str">
        <f t="shared" si="9"/>
        <v>Canteen</v>
      </c>
      <c r="H89" s="6" t="s">
        <v>11</v>
      </c>
      <c r="I89" s="6">
        <f t="shared" si="10"/>
        <v>200</v>
      </c>
      <c r="J89" s="6" t="s">
        <v>12</v>
      </c>
      <c r="K89" s="6" t="str">
        <f t="shared" si="11"/>
        <v>UPI</v>
      </c>
      <c r="L89" s="6" t="s">
        <v>13</v>
      </c>
      <c r="M89" s="6" t="str">
        <f t="shared" si="12"/>
        <v>Outside</v>
      </c>
      <c r="N89" s="6"/>
      <c r="O89" s="6" t="str">
        <f t="shared" si="13"/>
        <v>Not Specified</v>
      </c>
      <c r="P89" s="6" t="str">
        <f>TEXT(Table1[[#This Row],[Date]],"mmmm")</f>
        <v>April</v>
      </c>
      <c r="Q89" s="6">
        <f>YEAR(Table1[[#This Row],[Date]])</f>
        <v>2026</v>
      </c>
      <c r="R89" s="6" t="str">
        <f>TEXT(Table1[[#This Row],[Date]],"dddd")</f>
        <v>Wednesday</v>
      </c>
      <c r="S89" s="6" t="str">
        <f>IF(WEEKDAY(Table1[[#This Row],[Date]],2)&gt;5,"Weekend","Weekday")</f>
        <v>Weekday</v>
      </c>
      <c r="T89" s="6" t="str">
        <f>IF(Table1[[#This Row],[Amount_Clean]]&gt;500,"High","Normal")</f>
        <v>Normal</v>
      </c>
      <c r="U89" s="6" t="str">
        <f>IF(LOWER(TRIM(Table1[[#This Row],[PaymentMode_Clean]]))="cash","Cash","Digital")</f>
        <v>Digital</v>
      </c>
      <c r="V89" s="6">
        <f>MONTH(Table1[[#This Row],[Date]])</f>
        <v>4</v>
      </c>
    </row>
    <row r="90" spans="1:22" ht="18" x14ac:dyDescent="0.35">
      <c r="A90" s="11">
        <f>DATE(2026, MONTH(Raw_Data!A90), DAY(Raw_Data!A90))</f>
        <v>46143</v>
      </c>
      <c r="B90" s="6" t="s">
        <v>15</v>
      </c>
      <c r="C90" s="6" t="str">
        <f t="shared" si="7"/>
        <v>Food</v>
      </c>
      <c r="D90" s="6"/>
      <c r="E90" s="6" t="str">
        <f t="shared" si="8"/>
        <v>Not Specified</v>
      </c>
      <c r="F90" s="6"/>
      <c r="G90" s="6" t="str">
        <f t="shared" si="9"/>
        <v>Not Provided</v>
      </c>
      <c r="H90" s="6">
        <v>90</v>
      </c>
      <c r="I90" s="6">
        <f t="shared" si="10"/>
        <v>90</v>
      </c>
      <c r="J90" s="6" t="s">
        <v>21</v>
      </c>
      <c r="K90" s="6" t="str">
        <f t="shared" si="11"/>
        <v>Cash</v>
      </c>
      <c r="L90" s="6" t="s">
        <v>13</v>
      </c>
      <c r="M90" s="6" t="str">
        <f t="shared" si="12"/>
        <v>Outside</v>
      </c>
      <c r="N90" s="6"/>
      <c r="O90" s="6" t="str">
        <f t="shared" si="13"/>
        <v>Not Specified</v>
      </c>
      <c r="P90" s="6" t="str">
        <f>TEXT(Table1[[#This Row],[Date]],"mmmm")</f>
        <v>May</v>
      </c>
      <c r="Q90" s="6">
        <f>YEAR(Table1[[#This Row],[Date]])</f>
        <v>2026</v>
      </c>
      <c r="R90" s="6" t="str">
        <f>TEXT(Table1[[#This Row],[Date]],"dddd")</f>
        <v>Friday</v>
      </c>
      <c r="S90" s="6" t="str">
        <f>IF(WEEKDAY(Table1[[#This Row],[Date]],2)&gt;5,"Weekend","Weekday")</f>
        <v>Weekday</v>
      </c>
      <c r="T90" s="6" t="str">
        <f>IF(Table1[[#This Row],[Amount_Clean]]&gt;500,"High","Normal")</f>
        <v>Normal</v>
      </c>
      <c r="U90" s="6" t="str">
        <f>IF(LOWER(TRIM(Table1[[#This Row],[PaymentMode_Clean]]))="cash","Cash","Digital")</f>
        <v>Cash</v>
      </c>
      <c r="V90" s="6">
        <f>MONTH(Table1[[#This Row],[Date]])</f>
        <v>5</v>
      </c>
    </row>
    <row r="91" spans="1:22" ht="18" x14ac:dyDescent="0.35">
      <c r="A91" s="11">
        <f>DATE(2026, MONTH(Raw_Data!A91), DAY(Raw_Data!A91))</f>
        <v>46174</v>
      </c>
      <c r="B91" s="6" t="s">
        <v>28</v>
      </c>
      <c r="C91" s="6" t="str">
        <f t="shared" si="7"/>
        <v>Travel</v>
      </c>
      <c r="D91" s="6" t="s">
        <v>25</v>
      </c>
      <c r="E91" s="6" t="str">
        <f t="shared" si="8"/>
        <v>Bus</v>
      </c>
      <c r="F91" s="6" t="s">
        <v>24</v>
      </c>
      <c r="G91" s="6" t="str">
        <f t="shared" si="9"/>
        <v>College Bus</v>
      </c>
      <c r="H91" s="6">
        <v>40</v>
      </c>
      <c r="I91" s="6">
        <f t="shared" si="10"/>
        <v>40</v>
      </c>
      <c r="J91" s="6" t="s">
        <v>21</v>
      </c>
      <c r="K91" s="6" t="str">
        <f t="shared" si="11"/>
        <v>Cash</v>
      </c>
      <c r="L91" s="6" t="s">
        <v>13</v>
      </c>
      <c r="M91" s="6" t="str">
        <f t="shared" si="12"/>
        <v>Outside</v>
      </c>
      <c r="N91" s="6"/>
      <c r="O91" s="6" t="str">
        <f t="shared" si="13"/>
        <v>Not Specified</v>
      </c>
      <c r="P91" s="6" t="str">
        <f>TEXT(Table1[[#This Row],[Date]],"mmmm")</f>
        <v>June</v>
      </c>
      <c r="Q91" s="6">
        <f>YEAR(Table1[[#This Row],[Date]])</f>
        <v>2026</v>
      </c>
      <c r="R91" s="6" t="str">
        <f>TEXT(Table1[[#This Row],[Date]],"dddd")</f>
        <v>Monday</v>
      </c>
      <c r="S91" s="6" t="str">
        <f>IF(WEEKDAY(Table1[[#This Row],[Date]],2)&gt;5,"Weekend","Weekday")</f>
        <v>Weekday</v>
      </c>
      <c r="T91" s="6" t="str">
        <f>IF(Table1[[#This Row],[Amount_Clean]]&gt;500,"High","Normal")</f>
        <v>Normal</v>
      </c>
      <c r="U91" s="6" t="str">
        <f>IF(LOWER(TRIM(Table1[[#This Row],[PaymentMode_Clean]]))="cash","Cash","Digital")</f>
        <v>Cash</v>
      </c>
      <c r="V91" s="6">
        <f>MONTH(Table1[[#This Row],[Date]])</f>
        <v>6</v>
      </c>
    </row>
    <row r="92" spans="1:22" ht="18" x14ac:dyDescent="0.35">
      <c r="A92" s="11">
        <f>DATE(2026, MONTH(Raw_Data!A92), DAY(Raw_Data!A92))</f>
        <v>46204</v>
      </c>
      <c r="B92" s="6" t="s">
        <v>27</v>
      </c>
      <c r="C92" s="6" t="str">
        <f t="shared" si="7"/>
        <v>Entertainment</v>
      </c>
      <c r="D92" s="6" t="s">
        <v>26</v>
      </c>
      <c r="E92" s="6" t="str">
        <f t="shared" si="8"/>
        <v>Movie</v>
      </c>
      <c r="F92" s="6"/>
      <c r="G92" s="6" t="str">
        <f t="shared" si="9"/>
        <v>Not Provided</v>
      </c>
      <c r="H92" s="7">
        <v>350</v>
      </c>
      <c r="I92" s="6">
        <f t="shared" si="10"/>
        <v>350</v>
      </c>
      <c r="J92" s="6" t="s">
        <v>23</v>
      </c>
      <c r="K92" s="6" t="str">
        <f t="shared" si="11"/>
        <v>Card</v>
      </c>
      <c r="L92" s="6" t="s">
        <v>22</v>
      </c>
      <c r="M92" s="6" t="str">
        <f t="shared" si="12"/>
        <v>Mall</v>
      </c>
      <c r="N92" s="6"/>
      <c r="O92" s="6" t="str">
        <f t="shared" si="13"/>
        <v>Not Specified</v>
      </c>
      <c r="P92" s="6" t="str">
        <f>TEXT(Table1[[#This Row],[Date]],"mmmm")</f>
        <v>July</v>
      </c>
      <c r="Q92" s="6">
        <f>YEAR(Table1[[#This Row],[Date]])</f>
        <v>2026</v>
      </c>
      <c r="R92" s="6" t="str">
        <f>TEXT(Table1[[#This Row],[Date]],"dddd")</f>
        <v>Wednesday</v>
      </c>
      <c r="S92" s="6" t="str">
        <f>IF(WEEKDAY(Table1[[#This Row],[Date]],2)&gt;5,"Weekend","Weekday")</f>
        <v>Weekday</v>
      </c>
      <c r="T92" s="6" t="str">
        <f>IF(Table1[[#This Row],[Amount_Clean]]&gt;500,"High","Normal")</f>
        <v>Normal</v>
      </c>
      <c r="U92" s="6" t="str">
        <f>IF(LOWER(TRIM(Table1[[#This Row],[PaymentMode_Clean]]))="cash","Cash","Digital")</f>
        <v>Digital</v>
      </c>
      <c r="V92" s="6">
        <f>MONTH(Table1[[#This Row],[Date]])</f>
        <v>7</v>
      </c>
    </row>
    <row r="93" spans="1:22" ht="18" x14ac:dyDescent="0.35">
      <c r="A93" s="11">
        <f>DATE(2026, MONTH(Raw_Data!A93), DAY(Raw_Data!A93))</f>
        <v>46235</v>
      </c>
      <c r="B93" s="6" t="s">
        <v>8</v>
      </c>
      <c r="C93" s="6" t="str">
        <f t="shared" si="7"/>
        <v>Food</v>
      </c>
      <c r="D93" s="6" t="s">
        <v>9</v>
      </c>
      <c r="E93" s="6" t="str">
        <f t="shared" si="8"/>
        <v>Lunch</v>
      </c>
      <c r="F93" s="6" t="s">
        <v>10</v>
      </c>
      <c r="G93" s="6" t="str">
        <f t="shared" si="9"/>
        <v>Canteen</v>
      </c>
      <c r="H93" s="6" t="s">
        <v>11</v>
      </c>
      <c r="I93" s="6">
        <f t="shared" si="10"/>
        <v>200</v>
      </c>
      <c r="J93" s="6" t="s">
        <v>12</v>
      </c>
      <c r="K93" s="6" t="str">
        <f t="shared" si="11"/>
        <v>UPI</v>
      </c>
      <c r="L93" s="6" t="s">
        <v>13</v>
      </c>
      <c r="M93" s="6" t="str">
        <f t="shared" si="12"/>
        <v>Outside</v>
      </c>
      <c r="N93" s="6"/>
      <c r="O93" s="6" t="str">
        <f t="shared" si="13"/>
        <v>Not Specified</v>
      </c>
      <c r="P93" s="6" t="str">
        <f>TEXT(Table1[[#This Row],[Date]],"mmmm")</f>
        <v>August</v>
      </c>
      <c r="Q93" s="6">
        <f>YEAR(Table1[[#This Row],[Date]])</f>
        <v>2026</v>
      </c>
      <c r="R93" s="6" t="str">
        <f>TEXT(Table1[[#This Row],[Date]],"dddd")</f>
        <v>Saturday</v>
      </c>
      <c r="S93" s="6" t="str">
        <f>IF(WEEKDAY(Table1[[#This Row],[Date]],2)&gt;5,"Weekend","Weekday")</f>
        <v>Weekend</v>
      </c>
      <c r="T93" s="6" t="str">
        <f>IF(Table1[[#This Row],[Amount_Clean]]&gt;500,"High","Normal")</f>
        <v>Normal</v>
      </c>
      <c r="U93" s="6" t="str">
        <f>IF(LOWER(TRIM(Table1[[#This Row],[PaymentMode_Clean]]))="cash","Cash","Digital")</f>
        <v>Digital</v>
      </c>
      <c r="V93" s="6">
        <f>MONTH(Table1[[#This Row],[Date]])</f>
        <v>8</v>
      </c>
    </row>
    <row r="94" spans="1:22" ht="18" x14ac:dyDescent="0.35">
      <c r="A94" s="11">
        <f>DATE(2026, MONTH(Raw_Data!A94), DAY(Raw_Data!A94))</f>
        <v>46266</v>
      </c>
      <c r="B94" s="6" t="s">
        <v>15</v>
      </c>
      <c r="C94" s="6" t="str">
        <f t="shared" si="7"/>
        <v>Food</v>
      </c>
      <c r="D94" s="6" t="s">
        <v>16</v>
      </c>
      <c r="E94" s="6" t="str">
        <f t="shared" si="8"/>
        <v>Dinner</v>
      </c>
      <c r="F94" s="6" t="s">
        <v>17</v>
      </c>
      <c r="G94" s="6" t="str">
        <f t="shared" si="9"/>
        <v>Zomato</v>
      </c>
      <c r="H94" s="6" t="s">
        <v>18</v>
      </c>
      <c r="I94" s="6">
        <f t="shared" si="10"/>
        <v>280</v>
      </c>
      <c r="J94" s="6" t="s">
        <v>19</v>
      </c>
      <c r="K94" s="6" t="str">
        <f t="shared" si="11"/>
        <v>UPI</v>
      </c>
      <c r="L94" s="6" t="s">
        <v>20</v>
      </c>
      <c r="M94" s="6" t="str">
        <f t="shared" si="12"/>
        <v>Home</v>
      </c>
      <c r="N94" s="6" t="s">
        <v>14</v>
      </c>
      <c r="O94" s="6" t="str">
        <f t="shared" si="13"/>
        <v>Late</v>
      </c>
      <c r="P94" s="6" t="str">
        <f>TEXT(Table1[[#This Row],[Date]],"mmmm")</f>
        <v>September</v>
      </c>
      <c r="Q94" s="6">
        <f>YEAR(Table1[[#This Row],[Date]])</f>
        <v>2026</v>
      </c>
      <c r="R94" s="6" t="str">
        <f>TEXT(Table1[[#This Row],[Date]],"dddd")</f>
        <v>Tuesday</v>
      </c>
      <c r="S94" s="6" t="str">
        <f>IF(WEEKDAY(Table1[[#This Row],[Date]],2)&gt;5,"Weekend","Weekday")</f>
        <v>Weekday</v>
      </c>
      <c r="T94" s="6" t="str">
        <f>IF(Table1[[#This Row],[Amount_Clean]]&gt;500,"High","Normal")</f>
        <v>Normal</v>
      </c>
      <c r="U94" s="6" t="str">
        <f>IF(LOWER(TRIM(Table1[[#This Row],[PaymentMode_Clean]]))="cash","Cash","Digital")</f>
        <v>Digital</v>
      </c>
      <c r="V94" s="6">
        <f>MONTH(Table1[[#This Row],[Date]])</f>
        <v>9</v>
      </c>
    </row>
    <row r="95" spans="1:22" ht="18" x14ac:dyDescent="0.35">
      <c r="A95" s="11">
        <f>DATE(2026, MONTH(Raw_Data!A95), DAY(Raw_Data!A95))</f>
        <v>46296</v>
      </c>
      <c r="B95" s="6" t="s">
        <v>15</v>
      </c>
      <c r="C95" s="6" t="str">
        <f t="shared" si="7"/>
        <v>Food</v>
      </c>
      <c r="D95" s="6"/>
      <c r="E95" s="6" t="str">
        <f t="shared" si="8"/>
        <v>Not Specified</v>
      </c>
      <c r="F95" s="6"/>
      <c r="G95" s="6" t="str">
        <f t="shared" si="9"/>
        <v>Not Provided</v>
      </c>
      <c r="H95" s="6">
        <v>90</v>
      </c>
      <c r="I95" s="6">
        <f t="shared" si="10"/>
        <v>90</v>
      </c>
      <c r="J95" s="6" t="s">
        <v>21</v>
      </c>
      <c r="K95" s="6" t="str">
        <f t="shared" si="11"/>
        <v>Cash</v>
      </c>
      <c r="L95" s="6" t="s">
        <v>13</v>
      </c>
      <c r="M95" s="6" t="str">
        <f t="shared" si="12"/>
        <v>Outside</v>
      </c>
      <c r="N95" s="6"/>
      <c r="O95" s="6" t="str">
        <f t="shared" si="13"/>
        <v>Not Specified</v>
      </c>
      <c r="P95" s="6" t="str">
        <f>TEXT(Table1[[#This Row],[Date]],"mmmm")</f>
        <v>October</v>
      </c>
      <c r="Q95" s="6">
        <f>YEAR(Table1[[#This Row],[Date]])</f>
        <v>2026</v>
      </c>
      <c r="R95" s="6" t="str">
        <f>TEXT(Table1[[#This Row],[Date]],"dddd")</f>
        <v>Thursday</v>
      </c>
      <c r="S95" s="6" t="str">
        <f>IF(WEEKDAY(Table1[[#This Row],[Date]],2)&gt;5,"Weekend","Weekday")</f>
        <v>Weekday</v>
      </c>
      <c r="T95" s="6" t="str">
        <f>IF(Table1[[#This Row],[Amount_Clean]]&gt;500,"High","Normal")</f>
        <v>Normal</v>
      </c>
      <c r="U95" s="6" t="str">
        <f>IF(LOWER(TRIM(Table1[[#This Row],[PaymentMode_Clean]]))="cash","Cash","Digital")</f>
        <v>Cash</v>
      </c>
      <c r="V95" s="6">
        <f>MONTH(Table1[[#This Row],[Date]])</f>
        <v>10</v>
      </c>
    </row>
    <row r="96" spans="1:22" ht="18" x14ac:dyDescent="0.35">
      <c r="A96" s="11">
        <f>DATE(2026, MONTH(Raw_Data!A96), DAY(Raw_Data!A96))</f>
        <v>46327</v>
      </c>
      <c r="B96" s="6" t="s">
        <v>15</v>
      </c>
      <c r="C96" s="6" t="str">
        <f t="shared" si="7"/>
        <v>Food</v>
      </c>
      <c r="D96" s="6" t="s">
        <v>16</v>
      </c>
      <c r="E96" s="6" t="str">
        <f t="shared" si="8"/>
        <v>Dinner</v>
      </c>
      <c r="F96" s="6" t="s">
        <v>17</v>
      </c>
      <c r="G96" s="6" t="str">
        <f t="shared" si="9"/>
        <v>Zomato</v>
      </c>
      <c r="H96" s="6" t="s">
        <v>18</v>
      </c>
      <c r="I96" s="6">
        <f t="shared" si="10"/>
        <v>280</v>
      </c>
      <c r="J96" s="6" t="s">
        <v>19</v>
      </c>
      <c r="K96" s="6" t="str">
        <f t="shared" si="11"/>
        <v>UPI</v>
      </c>
      <c r="L96" s="6" t="s">
        <v>20</v>
      </c>
      <c r="M96" s="6" t="str">
        <f t="shared" si="12"/>
        <v>Home</v>
      </c>
      <c r="N96" s="6" t="s">
        <v>14</v>
      </c>
      <c r="O96" s="6" t="str">
        <f t="shared" si="13"/>
        <v>Late</v>
      </c>
      <c r="P96" s="6" t="str">
        <f>TEXT(Table1[[#This Row],[Date]],"mmmm")</f>
        <v>November</v>
      </c>
      <c r="Q96" s="6">
        <f>YEAR(Table1[[#This Row],[Date]])</f>
        <v>2026</v>
      </c>
      <c r="R96" s="6" t="str">
        <f>TEXT(Table1[[#This Row],[Date]],"dddd")</f>
        <v>Sunday</v>
      </c>
      <c r="S96" s="6" t="str">
        <f>IF(WEEKDAY(Table1[[#This Row],[Date]],2)&gt;5,"Weekend","Weekday")</f>
        <v>Weekend</v>
      </c>
      <c r="T96" s="6" t="str">
        <f>IF(Table1[[#This Row],[Amount_Clean]]&gt;500,"High","Normal")</f>
        <v>Normal</v>
      </c>
      <c r="U96" s="6" t="str">
        <f>IF(LOWER(TRIM(Table1[[#This Row],[PaymentMode_Clean]]))="cash","Cash","Digital")</f>
        <v>Digital</v>
      </c>
      <c r="V96" s="6">
        <f>MONTH(Table1[[#This Row],[Date]])</f>
        <v>11</v>
      </c>
    </row>
    <row r="97" spans="1:22" ht="18" x14ac:dyDescent="0.35">
      <c r="A97" s="11">
        <f>DATE(2026, MONTH(Raw_Data!A97), DAY(Raw_Data!A97))</f>
        <v>46357</v>
      </c>
      <c r="B97" s="6" t="s">
        <v>15</v>
      </c>
      <c r="C97" s="6" t="str">
        <f t="shared" si="7"/>
        <v>Food</v>
      </c>
      <c r="D97" s="6"/>
      <c r="E97" s="6" t="str">
        <f t="shared" si="8"/>
        <v>Not Specified</v>
      </c>
      <c r="F97" s="6"/>
      <c r="G97" s="6" t="str">
        <f t="shared" si="9"/>
        <v>Not Provided</v>
      </c>
      <c r="H97" s="6">
        <v>90</v>
      </c>
      <c r="I97" s="6">
        <f t="shared" si="10"/>
        <v>90</v>
      </c>
      <c r="J97" s="6" t="s">
        <v>21</v>
      </c>
      <c r="K97" s="6" t="str">
        <f t="shared" si="11"/>
        <v>Cash</v>
      </c>
      <c r="L97" s="6" t="s">
        <v>13</v>
      </c>
      <c r="M97" s="6" t="str">
        <f t="shared" si="12"/>
        <v>Outside</v>
      </c>
      <c r="N97" s="6"/>
      <c r="O97" s="6" t="str">
        <f t="shared" si="13"/>
        <v>Not Specified</v>
      </c>
      <c r="P97" s="6" t="str">
        <f>TEXT(Table1[[#This Row],[Date]],"mmmm")</f>
        <v>December</v>
      </c>
      <c r="Q97" s="6">
        <f>YEAR(Table1[[#This Row],[Date]])</f>
        <v>2026</v>
      </c>
      <c r="R97" s="6" t="str">
        <f>TEXT(Table1[[#This Row],[Date]],"dddd")</f>
        <v>Tuesday</v>
      </c>
      <c r="S97" s="6" t="str">
        <f>IF(WEEKDAY(Table1[[#This Row],[Date]],2)&gt;5,"Weekend","Weekday")</f>
        <v>Weekday</v>
      </c>
      <c r="T97" s="6" t="str">
        <f>IF(Table1[[#This Row],[Amount_Clean]]&gt;500,"High","Normal")</f>
        <v>Normal</v>
      </c>
      <c r="U97" s="6" t="str">
        <f>IF(LOWER(TRIM(Table1[[#This Row],[PaymentMode_Clean]]))="cash","Cash","Digital")</f>
        <v>Cash</v>
      </c>
      <c r="V97" s="6">
        <f>MONTH(Table1[[#This Row],[Date]])</f>
        <v>12</v>
      </c>
    </row>
    <row r="98" spans="1:22" ht="18" x14ac:dyDescent="0.35">
      <c r="A98" s="11">
        <f>DATE(2026, MONTH(Raw_Data!A98), DAY(Raw_Data!A98))</f>
        <v>46023</v>
      </c>
      <c r="B98" s="6" t="s">
        <v>15</v>
      </c>
      <c r="C98" s="6" t="str">
        <f t="shared" si="7"/>
        <v>Food</v>
      </c>
      <c r="D98" s="6" t="s">
        <v>16</v>
      </c>
      <c r="E98" s="6" t="str">
        <f t="shared" si="8"/>
        <v>Dinner</v>
      </c>
      <c r="F98" s="6" t="s">
        <v>17</v>
      </c>
      <c r="G98" s="6" t="str">
        <f t="shared" si="9"/>
        <v>Zomato</v>
      </c>
      <c r="H98" s="6" t="s">
        <v>18</v>
      </c>
      <c r="I98" s="6">
        <f t="shared" si="10"/>
        <v>280</v>
      </c>
      <c r="J98" s="6" t="s">
        <v>19</v>
      </c>
      <c r="K98" s="6" t="str">
        <f t="shared" si="11"/>
        <v>UPI</v>
      </c>
      <c r="L98" s="6" t="s">
        <v>20</v>
      </c>
      <c r="M98" s="6" t="str">
        <f t="shared" si="12"/>
        <v>Home</v>
      </c>
      <c r="N98" s="6" t="s">
        <v>14</v>
      </c>
      <c r="O98" s="6" t="str">
        <f t="shared" si="13"/>
        <v>Late</v>
      </c>
      <c r="P98" s="6" t="str">
        <f>TEXT(Table1[[#This Row],[Date]],"mmmm")</f>
        <v>January</v>
      </c>
      <c r="Q98" s="6">
        <f>YEAR(Table1[[#This Row],[Date]])</f>
        <v>2026</v>
      </c>
      <c r="R98" s="6" t="str">
        <f>TEXT(Table1[[#This Row],[Date]],"dddd")</f>
        <v>Thursday</v>
      </c>
      <c r="S98" s="6" t="str">
        <f>IF(WEEKDAY(Table1[[#This Row],[Date]],2)&gt;5,"Weekend","Weekday")</f>
        <v>Weekday</v>
      </c>
      <c r="T98" s="6" t="str">
        <f>IF(Table1[[#This Row],[Amount_Clean]]&gt;500,"High","Normal")</f>
        <v>Normal</v>
      </c>
      <c r="U98" s="6" t="str">
        <f>IF(LOWER(TRIM(Table1[[#This Row],[PaymentMode_Clean]]))="cash","Cash","Digital")</f>
        <v>Digital</v>
      </c>
      <c r="V98" s="6">
        <f>MONTH(Table1[[#This Row],[Date]])</f>
        <v>1</v>
      </c>
    </row>
    <row r="99" spans="1:22" ht="18" x14ac:dyDescent="0.35">
      <c r="A99" s="11">
        <f>DATE(2026, MONTH(Raw_Data!A99), DAY(Raw_Data!A99))</f>
        <v>46054</v>
      </c>
      <c r="B99" s="6" t="s">
        <v>15</v>
      </c>
      <c r="C99" s="6" t="str">
        <f t="shared" si="7"/>
        <v>Food</v>
      </c>
      <c r="D99" s="6"/>
      <c r="E99" s="6" t="str">
        <f t="shared" si="8"/>
        <v>Not Specified</v>
      </c>
      <c r="F99" s="6"/>
      <c r="G99" s="6" t="str">
        <f t="shared" si="9"/>
        <v>Not Provided</v>
      </c>
      <c r="H99" s="6">
        <v>90</v>
      </c>
      <c r="I99" s="6">
        <f t="shared" si="10"/>
        <v>90</v>
      </c>
      <c r="J99" s="6" t="s">
        <v>21</v>
      </c>
      <c r="K99" s="6" t="str">
        <f t="shared" si="11"/>
        <v>Cash</v>
      </c>
      <c r="L99" s="6" t="s">
        <v>13</v>
      </c>
      <c r="M99" s="6" t="str">
        <f t="shared" si="12"/>
        <v>Outside</v>
      </c>
      <c r="N99" s="6"/>
      <c r="O99" s="6" t="str">
        <f t="shared" si="13"/>
        <v>Not Specified</v>
      </c>
      <c r="P99" s="6" t="str">
        <f>TEXT(Table1[[#This Row],[Date]],"mmmm")</f>
        <v>February</v>
      </c>
      <c r="Q99" s="6">
        <f>YEAR(Table1[[#This Row],[Date]])</f>
        <v>2026</v>
      </c>
      <c r="R99" s="6" t="str">
        <f>TEXT(Table1[[#This Row],[Date]],"dddd")</f>
        <v>Sunday</v>
      </c>
      <c r="S99" s="6" t="str">
        <f>IF(WEEKDAY(Table1[[#This Row],[Date]],2)&gt;5,"Weekend","Weekday")</f>
        <v>Weekend</v>
      </c>
      <c r="T99" s="6" t="str">
        <f>IF(Table1[[#This Row],[Amount_Clean]]&gt;500,"High","Normal")</f>
        <v>Normal</v>
      </c>
      <c r="U99" s="6" t="str">
        <f>IF(LOWER(TRIM(Table1[[#This Row],[PaymentMode_Clean]]))="cash","Cash","Digital")</f>
        <v>Cash</v>
      </c>
      <c r="V99" s="6">
        <f>MONTH(Table1[[#This Row],[Date]])</f>
        <v>2</v>
      </c>
    </row>
    <row r="100" spans="1:22" ht="18" x14ac:dyDescent="0.35">
      <c r="A100" s="11">
        <f>DATE(2026, MONTH(Raw_Data!A100), DAY(Raw_Data!A100))</f>
        <v>46082</v>
      </c>
      <c r="B100" s="6" t="s">
        <v>15</v>
      </c>
      <c r="C100" s="6" t="str">
        <f t="shared" si="7"/>
        <v>Food</v>
      </c>
      <c r="D100" s="6" t="s">
        <v>16</v>
      </c>
      <c r="E100" s="6" t="str">
        <f t="shared" si="8"/>
        <v>Dinner</v>
      </c>
      <c r="F100" s="6" t="s">
        <v>17</v>
      </c>
      <c r="G100" s="6" t="str">
        <f t="shared" si="9"/>
        <v>Zomato</v>
      </c>
      <c r="H100" s="6" t="s">
        <v>18</v>
      </c>
      <c r="I100" s="6">
        <f t="shared" si="10"/>
        <v>280</v>
      </c>
      <c r="J100" s="6" t="s">
        <v>19</v>
      </c>
      <c r="K100" s="6" t="str">
        <f t="shared" si="11"/>
        <v>UPI</v>
      </c>
      <c r="L100" s="6" t="s">
        <v>20</v>
      </c>
      <c r="M100" s="6" t="str">
        <f t="shared" si="12"/>
        <v>Home</v>
      </c>
      <c r="N100" s="6" t="s">
        <v>14</v>
      </c>
      <c r="O100" s="6" t="str">
        <f t="shared" si="13"/>
        <v>Late</v>
      </c>
      <c r="P100" s="6" t="str">
        <f>TEXT(Table1[[#This Row],[Date]],"mmmm")</f>
        <v>March</v>
      </c>
      <c r="Q100" s="6">
        <f>YEAR(Table1[[#This Row],[Date]])</f>
        <v>2026</v>
      </c>
      <c r="R100" s="6" t="str">
        <f>TEXT(Table1[[#This Row],[Date]],"dddd")</f>
        <v>Sunday</v>
      </c>
      <c r="S100" s="6" t="str">
        <f>IF(WEEKDAY(Table1[[#This Row],[Date]],2)&gt;5,"Weekend","Weekday")</f>
        <v>Weekend</v>
      </c>
      <c r="T100" s="6" t="str">
        <f>IF(Table1[[#This Row],[Amount_Clean]]&gt;500,"High","Normal")</f>
        <v>Normal</v>
      </c>
      <c r="U100" s="6" t="str">
        <f>IF(LOWER(TRIM(Table1[[#This Row],[PaymentMode_Clean]]))="cash","Cash","Digital")</f>
        <v>Digital</v>
      </c>
      <c r="V100" s="6">
        <f>MONTH(Table1[[#This Row],[Date]])</f>
        <v>3</v>
      </c>
    </row>
    <row r="101" spans="1:22" ht="18" x14ac:dyDescent="0.35">
      <c r="A101" s="11">
        <f>DATE(2026, MONTH(Raw_Data!A101), DAY(Raw_Data!A101))</f>
        <v>46113</v>
      </c>
      <c r="B101" s="6" t="s">
        <v>15</v>
      </c>
      <c r="C101" s="6" t="str">
        <f t="shared" si="7"/>
        <v>Food</v>
      </c>
      <c r="D101" s="6"/>
      <c r="E101" s="6" t="str">
        <f t="shared" si="8"/>
        <v>Not Specified</v>
      </c>
      <c r="F101" s="6"/>
      <c r="G101" s="6" t="str">
        <f t="shared" si="9"/>
        <v>Not Provided</v>
      </c>
      <c r="H101" s="6">
        <v>90</v>
      </c>
      <c r="I101" s="6">
        <f t="shared" si="10"/>
        <v>90</v>
      </c>
      <c r="J101" s="6" t="s">
        <v>21</v>
      </c>
      <c r="K101" s="6" t="str">
        <f t="shared" si="11"/>
        <v>Cash</v>
      </c>
      <c r="L101" s="6" t="s">
        <v>13</v>
      </c>
      <c r="M101" s="6" t="str">
        <f t="shared" si="12"/>
        <v>Outside</v>
      </c>
      <c r="N101" s="6"/>
      <c r="O101" s="6" t="str">
        <f t="shared" si="13"/>
        <v>Not Specified</v>
      </c>
      <c r="P101" s="6" t="str">
        <f>TEXT(Table1[[#This Row],[Date]],"mmmm")</f>
        <v>April</v>
      </c>
      <c r="Q101" s="6">
        <f>YEAR(Table1[[#This Row],[Date]])</f>
        <v>2026</v>
      </c>
      <c r="R101" s="6" t="str">
        <f>TEXT(Table1[[#This Row],[Date]],"dddd")</f>
        <v>Wednesday</v>
      </c>
      <c r="S101" s="6" t="str">
        <f>IF(WEEKDAY(Table1[[#This Row],[Date]],2)&gt;5,"Weekend","Weekday")</f>
        <v>Weekday</v>
      </c>
      <c r="T101" s="6" t="str">
        <f>IF(Table1[[#This Row],[Amount_Clean]]&gt;500,"High","Normal")</f>
        <v>Normal</v>
      </c>
      <c r="U101" s="6" t="str">
        <f>IF(LOWER(TRIM(Table1[[#This Row],[PaymentMode_Clean]]))="cash","Cash","Digital")</f>
        <v>Cash</v>
      </c>
      <c r="V101" s="6">
        <f>MONTH(Table1[[#This Row],[Date]])</f>
        <v>4</v>
      </c>
    </row>
    <row r="102" spans="1:22" ht="18" x14ac:dyDescent="0.35">
      <c r="A102" s="11">
        <f>DATE(2026, MONTH(Raw_Data!A102), DAY(Raw_Data!A102))</f>
        <v>46143</v>
      </c>
      <c r="B102" s="6" t="s">
        <v>28</v>
      </c>
      <c r="C102" s="6" t="str">
        <f t="shared" si="7"/>
        <v>Travel</v>
      </c>
      <c r="D102" s="6" t="s">
        <v>25</v>
      </c>
      <c r="E102" s="6" t="str">
        <f t="shared" si="8"/>
        <v>Bus</v>
      </c>
      <c r="F102" s="6" t="s">
        <v>24</v>
      </c>
      <c r="G102" s="6" t="str">
        <f t="shared" si="9"/>
        <v>College Bus</v>
      </c>
      <c r="H102" s="6">
        <v>40</v>
      </c>
      <c r="I102" s="6">
        <f t="shared" si="10"/>
        <v>40</v>
      </c>
      <c r="J102" s="6" t="s">
        <v>21</v>
      </c>
      <c r="K102" s="6" t="str">
        <f t="shared" si="11"/>
        <v>Cash</v>
      </c>
      <c r="L102" s="6" t="s">
        <v>13</v>
      </c>
      <c r="M102" s="6" t="str">
        <f t="shared" si="12"/>
        <v>Outside</v>
      </c>
      <c r="N102" s="6"/>
      <c r="O102" s="6" t="str">
        <f t="shared" si="13"/>
        <v>Not Specified</v>
      </c>
      <c r="P102" s="6" t="str">
        <f>TEXT(Table1[[#This Row],[Date]],"mmmm")</f>
        <v>May</v>
      </c>
      <c r="Q102" s="6">
        <f>YEAR(Table1[[#This Row],[Date]])</f>
        <v>2026</v>
      </c>
      <c r="R102" s="6" t="str">
        <f>TEXT(Table1[[#This Row],[Date]],"dddd")</f>
        <v>Friday</v>
      </c>
      <c r="S102" s="6" t="str">
        <f>IF(WEEKDAY(Table1[[#This Row],[Date]],2)&gt;5,"Weekend","Weekday")</f>
        <v>Weekday</v>
      </c>
      <c r="T102" s="6" t="str">
        <f>IF(Table1[[#This Row],[Amount_Clean]]&gt;500,"High","Normal")</f>
        <v>Normal</v>
      </c>
      <c r="U102" s="6" t="str">
        <f>IF(LOWER(TRIM(Table1[[#This Row],[PaymentMode_Clean]]))="cash","Cash","Digital")</f>
        <v>Cash</v>
      </c>
      <c r="V102" s="6">
        <f>MONTH(Table1[[#This Row],[Date]])</f>
        <v>5</v>
      </c>
    </row>
    <row r="103" spans="1:22" ht="18" x14ac:dyDescent="0.35">
      <c r="A103" s="11">
        <f>DATE(2026, MONTH(Raw_Data!A103), DAY(Raw_Data!A103))</f>
        <v>46174</v>
      </c>
      <c r="B103" s="6" t="s">
        <v>27</v>
      </c>
      <c r="C103" s="6" t="str">
        <f t="shared" si="7"/>
        <v>Entertainment</v>
      </c>
      <c r="D103" s="6" t="s">
        <v>26</v>
      </c>
      <c r="E103" s="6" t="str">
        <f t="shared" si="8"/>
        <v>Movie</v>
      </c>
      <c r="F103" s="6"/>
      <c r="G103" s="6" t="str">
        <f t="shared" si="9"/>
        <v>Not Provided</v>
      </c>
      <c r="H103" s="7">
        <v>350</v>
      </c>
      <c r="I103" s="6">
        <f t="shared" si="10"/>
        <v>350</v>
      </c>
      <c r="J103" s="6" t="s">
        <v>23</v>
      </c>
      <c r="K103" s="6" t="str">
        <f t="shared" si="11"/>
        <v>Card</v>
      </c>
      <c r="L103" s="6" t="s">
        <v>22</v>
      </c>
      <c r="M103" s="6" t="str">
        <f t="shared" si="12"/>
        <v>Mall</v>
      </c>
      <c r="N103" s="6"/>
      <c r="O103" s="6" t="str">
        <f t="shared" si="13"/>
        <v>Not Specified</v>
      </c>
      <c r="P103" s="6" t="str">
        <f>TEXT(Table1[[#This Row],[Date]],"mmmm")</f>
        <v>June</v>
      </c>
      <c r="Q103" s="6">
        <f>YEAR(Table1[[#This Row],[Date]])</f>
        <v>2026</v>
      </c>
      <c r="R103" s="6" t="str">
        <f>TEXT(Table1[[#This Row],[Date]],"dddd")</f>
        <v>Monday</v>
      </c>
      <c r="S103" s="6" t="str">
        <f>IF(WEEKDAY(Table1[[#This Row],[Date]],2)&gt;5,"Weekend","Weekday")</f>
        <v>Weekday</v>
      </c>
      <c r="T103" s="6" t="str">
        <f>IF(Table1[[#This Row],[Amount_Clean]]&gt;500,"High","Normal")</f>
        <v>Normal</v>
      </c>
      <c r="U103" s="6" t="str">
        <f>IF(LOWER(TRIM(Table1[[#This Row],[PaymentMode_Clean]]))="cash","Cash","Digital")</f>
        <v>Digital</v>
      </c>
      <c r="V103" s="6">
        <f>MONTH(Table1[[#This Row],[Date]])</f>
        <v>6</v>
      </c>
    </row>
    <row r="104" spans="1:22" ht="18" x14ac:dyDescent="0.35">
      <c r="A104" s="11">
        <f>DATE(2026, MONTH(Raw_Data!A104), DAY(Raw_Data!A104))</f>
        <v>46204</v>
      </c>
      <c r="B104" s="6" t="s">
        <v>8</v>
      </c>
      <c r="C104" s="6" t="str">
        <f t="shared" si="7"/>
        <v>Food</v>
      </c>
      <c r="D104" s="6" t="s">
        <v>9</v>
      </c>
      <c r="E104" s="6" t="str">
        <f t="shared" si="8"/>
        <v>Lunch</v>
      </c>
      <c r="F104" s="6" t="s">
        <v>10</v>
      </c>
      <c r="G104" s="6" t="str">
        <f t="shared" si="9"/>
        <v>Canteen</v>
      </c>
      <c r="H104" s="6" t="s">
        <v>11</v>
      </c>
      <c r="I104" s="6">
        <f t="shared" si="10"/>
        <v>200</v>
      </c>
      <c r="J104" s="6" t="s">
        <v>12</v>
      </c>
      <c r="K104" s="6" t="str">
        <f t="shared" si="11"/>
        <v>UPI</v>
      </c>
      <c r="L104" s="6" t="s">
        <v>13</v>
      </c>
      <c r="M104" s="6" t="str">
        <f t="shared" si="12"/>
        <v>Outside</v>
      </c>
      <c r="N104" s="6"/>
      <c r="O104" s="6" t="str">
        <f t="shared" si="13"/>
        <v>Not Specified</v>
      </c>
      <c r="P104" s="6" t="str">
        <f>TEXT(Table1[[#This Row],[Date]],"mmmm")</f>
        <v>July</v>
      </c>
      <c r="Q104" s="6">
        <f>YEAR(Table1[[#This Row],[Date]])</f>
        <v>2026</v>
      </c>
      <c r="R104" s="6" t="str">
        <f>TEXT(Table1[[#This Row],[Date]],"dddd")</f>
        <v>Wednesday</v>
      </c>
      <c r="S104" s="6" t="str">
        <f>IF(WEEKDAY(Table1[[#This Row],[Date]],2)&gt;5,"Weekend","Weekday")</f>
        <v>Weekday</v>
      </c>
      <c r="T104" s="6" t="str">
        <f>IF(Table1[[#This Row],[Amount_Clean]]&gt;500,"High","Normal")</f>
        <v>Normal</v>
      </c>
      <c r="U104" s="6" t="str">
        <f>IF(LOWER(TRIM(Table1[[#This Row],[PaymentMode_Clean]]))="cash","Cash","Digital")</f>
        <v>Digital</v>
      </c>
      <c r="V104" s="6">
        <f>MONTH(Table1[[#This Row],[Date]])</f>
        <v>7</v>
      </c>
    </row>
    <row r="105" spans="1:22" ht="18" x14ac:dyDescent="0.35">
      <c r="A105" s="11">
        <f>DATE(2026, MONTH(Raw_Data!A105), DAY(Raw_Data!A105))</f>
        <v>46235</v>
      </c>
      <c r="B105" s="6" t="s">
        <v>15</v>
      </c>
      <c r="C105" s="6" t="str">
        <f t="shared" si="7"/>
        <v>Food</v>
      </c>
      <c r="D105" s="6" t="s">
        <v>16</v>
      </c>
      <c r="E105" s="6" t="str">
        <f t="shared" si="8"/>
        <v>Dinner</v>
      </c>
      <c r="F105" s="6" t="s">
        <v>17</v>
      </c>
      <c r="G105" s="6" t="str">
        <f t="shared" si="9"/>
        <v>Zomato</v>
      </c>
      <c r="H105" s="6" t="s">
        <v>18</v>
      </c>
      <c r="I105" s="6">
        <f t="shared" si="10"/>
        <v>280</v>
      </c>
      <c r="J105" s="6" t="s">
        <v>19</v>
      </c>
      <c r="K105" s="6" t="str">
        <f t="shared" si="11"/>
        <v>UPI</v>
      </c>
      <c r="L105" s="6" t="s">
        <v>20</v>
      </c>
      <c r="M105" s="6" t="str">
        <f t="shared" si="12"/>
        <v>Home</v>
      </c>
      <c r="N105" s="6" t="s">
        <v>14</v>
      </c>
      <c r="O105" s="6" t="str">
        <f t="shared" si="13"/>
        <v>Late</v>
      </c>
      <c r="P105" s="6" t="str">
        <f>TEXT(Table1[[#This Row],[Date]],"mmmm")</f>
        <v>August</v>
      </c>
      <c r="Q105" s="6">
        <f>YEAR(Table1[[#This Row],[Date]])</f>
        <v>2026</v>
      </c>
      <c r="R105" s="6" t="str">
        <f>TEXT(Table1[[#This Row],[Date]],"dddd")</f>
        <v>Saturday</v>
      </c>
      <c r="S105" s="6" t="str">
        <f>IF(WEEKDAY(Table1[[#This Row],[Date]],2)&gt;5,"Weekend","Weekday")</f>
        <v>Weekend</v>
      </c>
      <c r="T105" s="6" t="str">
        <f>IF(Table1[[#This Row],[Amount_Clean]]&gt;500,"High","Normal")</f>
        <v>Normal</v>
      </c>
      <c r="U105" s="6" t="str">
        <f>IF(LOWER(TRIM(Table1[[#This Row],[PaymentMode_Clean]]))="cash","Cash","Digital")</f>
        <v>Digital</v>
      </c>
      <c r="V105" s="6">
        <f>MONTH(Table1[[#This Row],[Date]])</f>
        <v>8</v>
      </c>
    </row>
    <row r="106" spans="1:22" ht="18" x14ac:dyDescent="0.35">
      <c r="A106" s="11">
        <f>DATE(2026, MONTH(Raw_Data!A106), DAY(Raw_Data!A106))</f>
        <v>46266</v>
      </c>
      <c r="B106" s="6" t="s">
        <v>15</v>
      </c>
      <c r="C106" s="6" t="str">
        <f t="shared" si="7"/>
        <v>Food</v>
      </c>
      <c r="D106" s="6"/>
      <c r="E106" s="6" t="str">
        <f t="shared" si="8"/>
        <v>Not Specified</v>
      </c>
      <c r="F106" s="6"/>
      <c r="G106" s="6" t="str">
        <f t="shared" si="9"/>
        <v>Not Provided</v>
      </c>
      <c r="H106" s="6">
        <v>90</v>
      </c>
      <c r="I106" s="6">
        <f t="shared" si="10"/>
        <v>90</v>
      </c>
      <c r="J106" s="6" t="s">
        <v>21</v>
      </c>
      <c r="K106" s="6" t="str">
        <f t="shared" si="11"/>
        <v>Cash</v>
      </c>
      <c r="L106" s="6" t="s">
        <v>13</v>
      </c>
      <c r="M106" s="6" t="str">
        <f t="shared" si="12"/>
        <v>Outside</v>
      </c>
      <c r="N106" s="6"/>
      <c r="O106" s="6" t="str">
        <f t="shared" si="13"/>
        <v>Not Specified</v>
      </c>
      <c r="P106" s="6" t="str">
        <f>TEXT(Table1[[#This Row],[Date]],"mmmm")</f>
        <v>September</v>
      </c>
      <c r="Q106" s="6">
        <f>YEAR(Table1[[#This Row],[Date]])</f>
        <v>2026</v>
      </c>
      <c r="R106" s="6" t="str">
        <f>TEXT(Table1[[#This Row],[Date]],"dddd")</f>
        <v>Tuesday</v>
      </c>
      <c r="S106" s="6" t="str">
        <f>IF(WEEKDAY(Table1[[#This Row],[Date]],2)&gt;5,"Weekend","Weekday")</f>
        <v>Weekday</v>
      </c>
      <c r="T106" s="6" t="str">
        <f>IF(Table1[[#This Row],[Amount_Clean]]&gt;500,"High","Normal")</f>
        <v>Normal</v>
      </c>
      <c r="U106" s="6" t="str">
        <f>IF(LOWER(TRIM(Table1[[#This Row],[PaymentMode_Clean]]))="cash","Cash","Digital")</f>
        <v>Cash</v>
      </c>
      <c r="V106" s="6">
        <f>MONTH(Table1[[#This Row],[Date]])</f>
        <v>9</v>
      </c>
    </row>
    <row r="107" spans="1:22" ht="18" x14ac:dyDescent="0.35">
      <c r="A107" s="11">
        <f>DATE(2026, MONTH(Raw_Data!A107), DAY(Raw_Data!A107))</f>
        <v>46296</v>
      </c>
      <c r="B107" s="6" t="s">
        <v>28</v>
      </c>
      <c r="C107" s="6" t="str">
        <f t="shared" si="7"/>
        <v>Travel</v>
      </c>
      <c r="D107" s="6" t="s">
        <v>25</v>
      </c>
      <c r="E107" s="6" t="str">
        <f t="shared" si="8"/>
        <v>Bus</v>
      </c>
      <c r="F107" s="6" t="s">
        <v>24</v>
      </c>
      <c r="G107" s="6" t="str">
        <f t="shared" si="9"/>
        <v>College Bus</v>
      </c>
      <c r="H107" s="6">
        <v>40</v>
      </c>
      <c r="I107" s="6">
        <f t="shared" si="10"/>
        <v>40</v>
      </c>
      <c r="J107" s="6" t="s">
        <v>21</v>
      </c>
      <c r="K107" s="6" t="str">
        <f t="shared" si="11"/>
        <v>Cash</v>
      </c>
      <c r="L107" s="6" t="s">
        <v>13</v>
      </c>
      <c r="M107" s="6" t="str">
        <f t="shared" si="12"/>
        <v>Outside</v>
      </c>
      <c r="N107" s="6"/>
      <c r="O107" s="6" t="str">
        <f t="shared" si="13"/>
        <v>Not Specified</v>
      </c>
      <c r="P107" s="6" t="str">
        <f>TEXT(Table1[[#This Row],[Date]],"mmmm")</f>
        <v>October</v>
      </c>
      <c r="Q107" s="6">
        <f>YEAR(Table1[[#This Row],[Date]])</f>
        <v>2026</v>
      </c>
      <c r="R107" s="6" t="str">
        <f>TEXT(Table1[[#This Row],[Date]],"dddd")</f>
        <v>Thursday</v>
      </c>
      <c r="S107" s="6" t="str">
        <f>IF(WEEKDAY(Table1[[#This Row],[Date]],2)&gt;5,"Weekend","Weekday")</f>
        <v>Weekday</v>
      </c>
      <c r="T107" s="6" t="str">
        <f>IF(Table1[[#This Row],[Amount_Clean]]&gt;500,"High","Normal")</f>
        <v>Normal</v>
      </c>
      <c r="U107" s="6" t="str">
        <f>IF(LOWER(TRIM(Table1[[#This Row],[PaymentMode_Clean]]))="cash","Cash","Digital")</f>
        <v>Cash</v>
      </c>
      <c r="V107" s="6">
        <f>MONTH(Table1[[#This Row],[Date]])</f>
        <v>10</v>
      </c>
    </row>
    <row r="108" spans="1:22" ht="18" x14ac:dyDescent="0.35">
      <c r="A108" s="11">
        <f>DATE(2026, MONTH(Raw_Data!A108), DAY(Raw_Data!A108))</f>
        <v>46327</v>
      </c>
      <c r="B108" s="6" t="s">
        <v>27</v>
      </c>
      <c r="C108" s="6" t="str">
        <f t="shared" si="7"/>
        <v>Entertainment</v>
      </c>
      <c r="D108" s="6" t="s">
        <v>26</v>
      </c>
      <c r="E108" s="6" t="str">
        <f t="shared" si="8"/>
        <v>Movie</v>
      </c>
      <c r="F108" s="6"/>
      <c r="G108" s="6" t="str">
        <f t="shared" si="9"/>
        <v>Not Provided</v>
      </c>
      <c r="H108" s="7">
        <v>350</v>
      </c>
      <c r="I108" s="6">
        <f t="shared" si="10"/>
        <v>350</v>
      </c>
      <c r="J108" s="6" t="s">
        <v>23</v>
      </c>
      <c r="K108" s="6" t="str">
        <f t="shared" si="11"/>
        <v>Card</v>
      </c>
      <c r="L108" s="6" t="s">
        <v>22</v>
      </c>
      <c r="M108" s="6" t="str">
        <f t="shared" si="12"/>
        <v>Mall</v>
      </c>
      <c r="N108" s="6"/>
      <c r="O108" s="6" t="str">
        <f t="shared" si="13"/>
        <v>Not Specified</v>
      </c>
      <c r="P108" s="6" t="str">
        <f>TEXT(Table1[[#This Row],[Date]],"mmmm")</f>
        <v>November</v>
      </c>
      <c r="Q108" s="6">
        <f>YEAR(Table1[[#This Row],[Date]])</f>
        <v>2026</v>
      </c>
      <c r="R108" s="6" t="str">
        <f>TEXT(Table1[[#This Row],[Date]],"dddd")</f>
        <v>Sunday</v>
      </c>
      <c r="S108" s="6" t="str">
        <f>IF(WEEKDAY(Table1[[#This Row],[Date]],2)&gt;5,"Weekend","Weekday")</f>
        <v>Weekend</v>
      </c>
      <c r="T108" s="6" t="str">
        <f>IF(Table1[[#This Row],[Amount_Clean]]&gt;500,"High","Normal")</f>
        <v>Normal</v>
      </c>
      <c r="U108" s="6" t="str">
        <f>IF(LOWER(TRIM(Table1[[#This Row],[PaymentMode_Clean]]))="cash","Cash","Digital")</f>
        <v>Digital</v>
      </c>
      <c r="V108" s="6">
        <f>MONTH(Table1[[#This Row],[Date]])</f>
        <v>11</v>
      </c>
    </row>
    <row r="109" spans="1:22" ht="18" x14ac:dyDescent="0.35">
      <c r="A109" s="11">
        <f>DATE(2026, MONTH(Raw_Data!A109), DAY(Raw_Data!A109))</f>
        <v>46357</v>
      </c>
      <c r="B109" s="6" t="s">
        <v>8</v>
      </c>
      <c r="C109" s="6" t="str">
        <f t="shared" si="7"/>
        <v>Food</v>
      </c>
      <c r="D109" s="6" t="s">
        <v>9</v>
      </c>
      <c r="E109" s="6" t="str">
        <f t="shared" si="8"/>
        <v>Lunch</v>
      </c>
      <c r="F109" s="6" t="s">
        <v>10</v>
      </c>
      <c r="G109" s="6" t="str">
        <f t="shared" si="9"/>
        <v>Canteen</v>
      </c>
      <c r="H109" s="6" t="s">
        <v>11</v>
      </c>
      <c r="I109" s="6">
        <f t="shared" si="10"/>
        <v>200</v>
      </c>
      <c r="J109" s="6" t="s">
        <v>12</v>
      </c>
      <c r="K109" s="6" t="str">
        <f t="shared" si="11"/>
        <v>UPI</v>
      </c>
      <c r="L109" s="6" t="s">
        <v>13</v>
      </c>
      <c r="M109" s="6" t="str">
        <f t="shared" si="12"/>
        <v>Outside</v>
      </c>
      <c r="N109" s="6"/>
      <c r="O109" s="6" t="str">
        <f t="shared" si="13"/>
        <v>Not Specified</v>
      </c>
      <c r="P109" s="6" t="str">
        <f>TEXT(Table1[[#This Row],[Date]],"mmmm")</f>
        <v>December</v>
      </c>
      <c r="Q109" s="6">
        <f>YEAR(Table1[[#This Row],[Date]])</f>
        <v>2026</v>
      </c>
      <c r="R109" s="6" t="str">
        <f>TEXT(Table1[[#This Row],[Date]],"dddd")</f>
        <v>Tuesday</v>
      </c>
      <c r="S109" s="6" t="str">
        <f>IF(WEEKDAY(Table1[[#This Row],[Date]],2)&gt;5,"Weekend","Weekday")</f>
        <v>Weekday</v>
      </c>
      <c r="T109" s="6" t="str">
        <f>IF(Table1[[#This Row],[Amount_Clean]]&gt;500,"High","Normal")</f>
        <v>Normal</v>
      </c>
      <c r="U109" s="6" t="str">
        <f>IF(LOWER(TRIM(Table1[[#This Row],[PaymentMode_Clean]]))="cash","Cash","Digital")</f>
        <v>Digital</v>
      </c>
      <c r="V109" s="6">
        <f>MONTH(Table1[[#This Row],[Date]])</f>
        <v>12</v>
      </c>
    </row>
    <row r="110" spans="1:22" ht="18" x14ac:dyDescent="0.35">
      <c r="A110" s="11">
        <f>DATE(2026, MONTH(Raw_Data!A110), DAY(Raw_Data!A110))</f>
        <v>46023</v>
      </c>
      <c r="B110" s="6" t="s">
        <v>15</v>
      </c>
      <c r="C110" s="6" t="str">
        <f t="shared" si="7"/>
        <v>Food</v>
      </c>
      <c r="D110" s="6" t="s">
        <v>16</v>
      </c>
      <c r="E110" s="6" t="str">
        <f t="shared" si="8"/>
        <v>Dinner</v>
      </c>
      <c r="F110" s="6" t="s">
        <v>17</v>
      </c>
      <c r="G110" s="6" t="str">
        <f t="shared" si="9"/>
        <v>Zomato</v>
      </c>
      <c r="H110" s="6" t="s">
        <v>18</v>
      </c>
      <c r="I110" s="6">
        <f t="shared" si="10"/>
        <v>280</v>
      </c>
      <c r="J110" s="6" t="s">
        <v>19</v>
      </c>
      <c r="K110" s="6" t="str">
        <f t="shared" si="11"/>
        <v>UPI</v>
      </c>
      <c r="L110" s="6" t="s">
        <v>20</v>
      </c>
      <c r="M110" s="6" t="str">
        <f t="shared" si="12"/>
        <v>Home</v>
      </c>
      <c r="N110" s="6" t="s">
        <v>14</v>
      </c>
      <c r="O110" s="6" t="str">
        <f t="shared" si="13"/>
        <v>Late</v>
      </c>
      <c r="P110" s="6" t="str">
        <f>TEXT(Table1[[#This Row],[Date]],"mmmm")</f>
        <v>January</v>
      </c>
      <c r="Q110" s="6">
        <f>YEAR(Table1[[#This Row],[Date]])</f>
        <v>2026</v>
      </c>
      <c r="R110" s="6" t="str">
        <f>TEXT(Table1[[#This Row],[Date]],"dddd")</f>
        <v>Thursday</v>
      </c>
      <c r="S110" s="6" t="str">
        <f>IF(WEEKDAY(Table1[[#This Row],[Date]],2)&gt;5,"Weekend","Weekday")</f>
        <v>Weekday</v>
      </c>
      <c r="T110" s="6" t="str">
        <f>IF(Table1[[#This Row],[Amount_Clean]]&gt;500,"High","Normal")</f>
        <v>Normal</v>
      </c>
      <c r="U110" s="6" t="str">
        <f>IF(LOWER(TRIM(Table1[[#This Row],[PaymentMode_Clean]]))="cash","Cash","Digital")</f>
        <v>Digital</v>
      </c>
      <c r="V110" s="6">
        <f>MONTH(Table1[[#This Row],[Date]])</f>
        <v>1</v>
      </c>
    </row>
    <row r="111" spans="1:22" ht="18" x14ac:dyDescent="0.35">
      <c r="A111" s="11">
        <f>DATE(2026, MONTH(Raw_Data!A111), DAY(Raw_Data!A111))</f>
        <v>46054</v>
      </c>
      <c r="B111" s="6" t="s">
        <v>15</v>
      </c>
      <c r="C111" s="6" t="str">
        <f t="shared" si="7"/>
        <v>Food</v>
      </c>
      <c r="D111" s="6"/>
      <c r="E111" s="6" t="str">
        <f t="shared" si="8"/>
        <v>Not Specified</v>
      </c>
      <c r="F111" s="6"/>
      <c r="G111" s="6" t="str">
        <f t="shared" si="9"/>
        <v>Not Provided</v>
      </c>
      <c r="H111" s="6">
        <v>90</v>
      </c>
      <c r="I111" s="6">
        <f t="shared" si="10"/>
        <v>90</v>
      </c>
      <c r="J111" s="6" t="s">
        <v>21</v>
      </c>
      <c r="K111" s="6" t="str">
        <f t="shared" si="11"/>
        <v>Cash</v>
      </c>
      <c r="L111" s="6" t="s">
        <v>13</v>
      </c>
      <c r="M111" s="6" t="str">
        <f t="shared" si="12"/>
        <v>Outside</v>
      </c>
      <c r="N111" s="6"/>
      <c r="O111" s="6" t="str">
        <f t="shared" si="13"/>
        <v>Not Specified</v>
      </c>
      <c r="P111" s="6" t="str">
        <f>TEXT(Table1[[#This Row],[Date]],"mmmm")</f>
        <v>February</v>
      </c>
      <c r="Q111" s="6">
        <f>YEAR(Table1[[#This Row],[Date]])</f>
        <v>2026</v>
      </c>
      <c r="R111" s="6" t="str">
        <f>TEXT(Table1[[#This Row],[Date]],"dddd")</f>
        <v>Sunday</v>
      </c>
      <c r="S111" s="6" t="str">
        <f>IF(WEEKDAY(Table1[[#This Row],[Date]],2)&gt;5,"Weekend","Weekday")</f>
        <v>Weekend</v>
      </c>
      <c r="T111" s="6" t="str">
        <f>IF(Table1[[#This Row],[Amount_Clean]]&gt;500,"High","Normal")</f>
        <v>Normal</v>
      </c>
      <c r="U111" s="6" t="str">
        <f>IF(LOWER(TRIM(Table1[[#This Row],[PaymentMode_Clean]]))="cash","Cash","Digital")</f>
        <v>Cash</v>
      </c>
      <c r="V111" s="6">
        <f>MONTH(Table1[[#This Row],[Date]])</f>
        <v>2</v>
      </c>
    </row>
    <row r="112" spans="1:22" ht="18" x14ac:dyDescent="0.35">
      <c r="A112" s="11">
        <f>DATE(2026, MONTH(Raw_Data!A112), DAY(Raw_Data!A112))</f>
        <v>46082</v>
      </c>
      <c r="B112" s="6" t="s">
        <v>15</v>
      </c>
      <c r="C112" s="6" t="str">
        <f t="shared" si="7"/>
        <v>Food</v>
      </c>
      <c r="D112" s="6" t="s">
        <v>16</v>
      </c>
      <c r="E112" s="6" t="str">
        <f t="shared" si="8"/>
        <v>Dinner</v>
      </c>
      <c r="F112" s="6" t="s">
        <v>17</v>
      </c>
      <c r="G112" s="6" t="str">
        <f t="shared" si="9"/>
        <v>Zomato</v>
      </c>
      <c r="H112" s="6" t="s">
        <v>18</v>
      </c>
      <c r="I112" s="6">
        <f t="shared" si="10"/>
        <v>280</v>
      </c>
      <c r="J112" s="6" t="s">
        <v>19</v>
      </c>
      <c r="K112" s="6" t="str">
        <f t="shared" si="11"/>
        <v>UPI</v>
      </c>
      <c r="L112" s="6" t="s">
        <v>20</v>
      </c>
      <c r="M112" s="6" t="str">
        <f t="shared" si="12"/>
        <v>Home</v>
      </c>
      <c r="N112" s="6" t="s">
        <v>14</v>
      </c>
      <c r="O112" s="6" t="str">
        <f t="shared" si="13"/>
        <v>Late</v>
      </c>
      <c r="P112" s="6" t="str">
        <f>TEXT(Table1[[#This Row],[Date]],"mmmm")</f>
        <v>March</v>
      </c>
      <c r="Q112" s="6">
        <f>YEAR(Table1[[#This Row],[Date]])</f>
        <v>2026</v>
      </c>
      <c r="R112" s="6" t="str">
        <f>TEXT(Table1[[#This Row],[Date]],"dddd")</f>
        <v>Sunday</v>
      </c>
      <c r="S112" s="6" t="str">
        <f>IF(WEEKDAY(Table1[[#This Row],[Date]],2)&gt;5,"Weekend","Weekday")</f>
        <v>Weekend</v>
      </c>
      <c r="T112" s="6" t="str">
        <f>IF(Table1[[#This Row],[Amount_Clean]]&gt;500,"High","Normal")</f>
        <v>Normal</v>
      </c>
      <c r="U112" s="6" t="str">
        <f>IF(LOWER(TRIM(Table1[[#This Row],[PaymentMode_Clean]]))="cash","Cash","Digital")</f>
        <v>Digital</v>
      </c>
      <c r="V112" s="6">
        <f>MONTH(Table1[[#This Row],[Date]])</f>
        <v>3</v>
      </c>
    </row>
    <row r="113" spans="1:22" ht="18" x14ac:dyDescent="0.35">
      <c r="A113" s="11">
        <f>DATE(2026, MONTH(Raw_Data!A113), DAY(Raw_Data!A113))</f>
        <v>46113</v>
      </c>
      <c r="B113" s="6" t="s">
        <v>15</v>
      </c>
      <c r="C113" s="6" t="str">
        <f t="shared" si="7"/>
        <v>Food</v>
      </c>
      <c r="D113" s="6"/>
      <c r="E113" s="6" t="str">
        <f t="shared" si="8"/>
        <v>Not Specified</v>
      </c>
      <c r="F113" s="6"/>
      <c r="G113" s="6" t="str">
        <f t="shared" si="9"/>
        <v>Not Provided</v>
      </c>
      <c r="H113" s="6">
        <v>90</v>
      </c>
      <c r="I113" s="6">
        <f t="shared" si="10"/>
        <v>90</v>
      </c>
      <c r="J113" s="6" t="s">
        <v>21</v>
      </c>
      <c r="K113" s="6" t="str">
        <f t="shared" si="11"/>
        <v>Cash</v>
      </c>
      <c r="L113" s="6" t="s">
        <v>13</v>
      </c>
      <c r="M113" s="6" t="str">
        <f t="shared" si="12"/>
        <v>Outside</v>
      </c>
      <c r="N113" s="6"/>
      <c r="O113" s="6" t="str">
        <f t="shared" si="13"/>
        <v>Not Specified</v>
      </c>
      <c r="P113" s="6" t="str">
        <f>TEXT(Table1[[#This Row],[Date]],"mmmm")</f>
        <v>April</v>
      </c>
      <c r="Q113" s="6">
        <f>YEAR(Table1[[#This Row],[Date]])</f>
        <v>2026</v>
      </c>
      <c r="R113" s="6" t="str">
        <f>TEXT(Table1[[#This Row],[Date]],"dddd")</f>
        <v>Wednesday</v>
      </c>
      <c r="S113" s="6" t="str">
        <f>IF(WEEKDAY(Table1[[#This Row],[Date]],2)&gt;5,"Weekend","Weekday")</f>
        <v>Weekday</v>
      </c>
      <c r="T113" s="6" t="str">
        <f>IF(Table1[[#This Row],[Amount_Clean]]&gt;500,"High","Normal")</f>
        <v>Normal</v>
      </c>
      <c r="U113" s="6" t="str">
        <f>IF(LOWER(TRIM(Table1[[#This Row],[PaymentMode_Clean]]))="cash","Cash","Digital")</f>
        <v>Cash</v>
      </c>
      <c r="V113" s="6">
        <f>MONTH(Table1[[#This Row],[Date]])</f>
        <v>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tabSelected="1" workbookViewId="0">
      <selection activeCell="D8" sqref="D8"/>
    </sheetView>
  </sheetViews>
  <sheetFormatPr defaultRowHeight="14.4" x14ac:dyDescent="0.3"/>
  <cols>
    <col min="1" max="1" width="12.6640625" customWidth="1"/>
    <col min="2" max="2" width="20.21875" bestFit="1" customWidth="1"/>
  </cols>
  <sheetData>
    <row r="3" spans="1:2" x14ac:dyDescent="0.3">
      <c r="A3" s="8" t="s">
        <v>51</v>
      </c>
      <c r="B3" t="s">
        <v>50</v>
      </c>
    </row>
    <row r="4" spans="1:2" x14ac:dyDescent="0.3">
      <c r="A4" s="9" t="s">
        <v>27</v>
      </c>
      <c r="B4" s="10">
        <v>6650</v>
      </c>
    </row>
    <row r="5" spans="1:2" x14ac:dyDescent="0.3">
      <c r="A5" s="9" t="s">
        <v>15</v>
      </c>
      <c r="B5" s="10">
        <v>12960</v>
      </c>
    </row>
    <row r="6" spans="1:2" x14ac:dyDescent="0.3">
      <c r="A6" s="9" t="s">
        <v>28</v>
      </c>
      <c r="B6" s="10">
        <v>720</v>
      </c>
    </row>
    <row r="7" spans="1:2" x14ac:dyDescent="0.3">
      <c r="A7" s="9" t="s">
        <v>52</v>
      </c>
      <c r="B7" s="10">
        <v>20330</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B7" sqref="A3:B16"/>
    </sheetView>
  </sheetViews>
  <sheetFormatPr defaultRowHeight="14.4" x14ac:dyDescent="0.3"/>
  <cols>
    <col min="1" max="1" width="12.5546875" bestFit="1" customWidth="1"/>
    <col min="2" max="2" width="20.21875" bestFit="1" customWidth="1"/>
  </cols>
  <sheetData>
    <row r="3" spans="1:2" x14ac:dyDescent="0.3">
      <c r="A3" s="8" t="s">
        <v>51</v>
      </c>
      <c r="B3" t="s">
        <v>50</v>
      </c>
    </row>
    <row r="4" spans="1:2" x14ac:dyDescent="0.3">
      <c r="A4" s="9" t="s">
        <v>53</v>
      </c>
      <c r="B4" s="10">
        <v>2210</v>
      </c>
    </row>
    <row r="5" spans="1:2" x14ac:dyDescent="0.3">
      <c r="A5" s="9" t="s">
        <v>54</v>
      </c>
      <c r="B5" s="10">
        <v>1240</v>
      </c>
    </row>
    <row r="6" spans="1:2" x14ac:dyDescent="0.3">
      <c r="A6" s="9" t="s">
        <v>55</v>
      </c>
      <c r="B6" s="10">
        <v>2360</v>
      </c>
    </row>
    <row r="7" spans="1:2" x14ac:dyDescent="0.3">
      <c r="A7" s="9" t="s">
        <v>56</v>
      </c>
      <c r="B7" s="10">
        <v>1400</v>
      </c>
    </row>
    <row r="8" spans="1:2" x14ac:dyDescent="0.3">
      <c r="A8" s="9" t="s">
        <v>57</v>
      </c>
      <c r="B8" s="10">
        <v>1610</v>
      </c>
    </row>
    <row r="9" spans="1:2" x14ac:dyDescent="0.3">
      <c r="A9" s="9" t="s">
        <v>58</v>
      </c>
      <c r="B9" s="10">
        <v>1290</v>
      </c>
    </row>
    <row r="10" spans="1:2" x14ac:dyDescent="0.3">
      <c r="A10" s="9" t="s">
        <v>59</v>
      </c>
      <c r="B10" s="10">
        <v>1980</v>
      </c>
    </row>
    <row r="11" spans="1:2" x14ac:dyDescent="0.3">
      <c r="A11" s="9" t="s">
        <v>60</v>
      </c>
      <c r="B11" s="10">
        <v>1580</v>
      </c>
    </row>
    <row r="12" spans="1:2" x14ac:dyDescent="0.3">
      <c r="A12" s="9" t="s">
        <v>61</v>
      </c>
      <c r="B12" s="10">
        <v>2040</v>
      </c>
    </row>
    <row r="13" spans="1:2" x14ac:dyDescent="0.3">
      <c r="A13" s="9" t="s">
        <v>62</v>
      </c>
      <c r="B13" s="10">
        <v>1390</v>
      </c>
    </row>
    <row r="14" spans="1:2" x14ac:dyDescent="0.3">
      <c r="A14" s="9" t="s">
        <v>63</v>
      </c>
      <c r="B14" s="10">
        <v>1660</v>
      </c>
    </row>
    <row r="15" spans="1:2" x14ac:dyDescent="0.3">
      <c r="A15" s="9" t="s">
        <v>64</v>
      </c>
      <c r="B15" s="10">
        <v>1570</v>
      </c>
    </row>
    <row r="16" spans="1:2" x14ac:dyDescent="0.3">
      <c r="A16" s="9" t="s">
        <v>52</v>
      </c>
      <c r="B16" s="10">
        <v>20330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C3" sqref="C3"/>
    </sheetView>
  </sheetViews>
  <sheetFormatPr defaultRowHeight="14.4" x14ac:dyDescent="0.3"/>
  <cols>
    <col min="1" max="1" width="12.5546875" bestFit="1" customWidth="1"/>
    <col min="2" max="2" width="20.21875" bestFit="1" customWidth="1"/>
  </cols>
  <sheetData>
    <row r="3" spans="1:2" x14ac:dyDescent="0.3">
      <c r="A3" s="8" t="s">
        <v>51</v>
      </c>
      <c r="B3" t="s">
        <v>50</v>
      </c>
    </row>
    <row r="4" spans="1:2" x14ac:dyDescent="0.3">
      <c r="A4" s="9" t="s">
        <v>65</v>
      </c>
      <c r="B4" s="10">
        <v>6650</v>
      </c>
    </row>
    <row r="5" spans="1:2" x14ac:dyDescent="0.3">
      <c r="A5" s="9" t="s">
        <v>66</v>
      </c>
      <c r="B5" s="10">
        <v>3960</v>
      </c>
    </row>
    <row r="6" spans="1:2" x14ac:dyDescent="0.3">
      <c r="A6" s="9" t="s">
        <v>19</v>
      </c>
      <c r="B6" s="10">
        <v>9720</v>
      </c>
    </row>
    <row r="7" spans="1:2" x14ac:dyDescent="0.3">
      <c r="A7" s="9" t="s">
        <v>52</v>
      </c>
      <c r="B7" s="10">
        <v>20330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2:O2"/>
  <sheetViews>
    <sheetView workbookViewId="0">
      <selection activeCell="D3" sqref="D3"/>
    </sheetView>
  </sheetViews>
  <sheetFormatPr defaultRowHeight="14.4" x14ac:dyDescent="0.3"/>
  <sheetData>
    <row r="2" spans="7:15" ht="25.2" x14ac:dyDescent="0.45">
      <c r="G2" s="13" t="s">
        <v>67</v>
      </c>
      <c r="H2" s="13"/>
      <c r="I2" s="13"/>
      <c r="J2" s="13"/>
      <c r="K2" s="13"/>
      <c r="L2" s="13"/>
      <c r="M2" s="13"/>
      <c r="N2" s="13"/>
      <c r="O2" s="13"/>
    </row>
  </sheetData>
  <mergeCells count="1">
    <mergeCell ref="G2:O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Cleaned_Data</vt:lpstr>
      <vt:lpstr>Month_Pivot</vt:lpstr>
      <vt:lpstr>Month_Analysis</vt:lpstr>
      <vt:lpstr>PaymentMode_Analysis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2026-01-21T16:48:50Z</cp:lastPrinted>
  <dcterms:created xsi:type="dcterms:W3CDTF">2026-01-21T05:44:24Z</dcterms:created>
  <dcterms:modified xsi:type="dcterms:W3CDTF">2026-02-18T18:07:09Z</dcterms:modified>
</cp:coreProperties>
</file>